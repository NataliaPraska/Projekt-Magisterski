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ira\Desktop\"/>
    </mc:Choice>
  </mc:AlternateContent>
  <xr:revisionPtr revIDLastSave="0" documentId="13_ncr:1_{093370FC-835F-4F55-BBAB-6ED0E3295D39}" xr6:coauthVersionLast="47" xr6:coauthVersionMax="47" xr10:uidLastSave="{00000000-0000-0000-0000-000000000000}"/>
  <bookViews>
    <workbookView xWindow="-1335" yWindow="4365" windowWidth="28770" windowHeight="15450" xr2:uid="{267DE3E9-7316-4A9D-8C18-F93D22A9162D}"/>
  </bookViews>
  <sheets>
    <sheet name="Kalkulacj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8" i="2" l="1"/>
  <c r="W110" i="2"/>
  <c r="W102" i="2"/>
  <c r="W77" i="2"/>
  <c r="V46" i="2"/>
  <c r="Q77" i="2"/>
  <c r="R77" i="2"/>
  <c r="S77" i="2"/>
  <c r="T77" i="2"/>
  <c r="U77" i="2"/>
  <c r="V77" i="2"/>
  <c r="P77" i="2"/>
  <c r="N73" i="2"/>
  <c r="M73" i="2"/>
  <c r="L73" i="2"/>
  <c r="K73" i="2"/>
  <c r="N72" i="2"/>
  <c r="M72" i="2"/>
  <c r="L72" i="2"/>
  <c r="K72" i="2"/>
  <c r="N71" i="2"/>
  <c r="M71" i="2"/>
  <c r="L71" i="2"/>
  <c r="K71" i="2"/>
  <c r="K2" i="2"/>
  <c r="L2" i="2"/>
  <c r="M2" i="2"/>
  <c r="N2" i="2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P12" i="2"/>
  <c r="Q12" i="2"/>
  <c r="R12" i="2"/>
  <c r="S12" i="2"/>
  <c r="T12" i="2"/>
  <c r="U12" i="2"/>
  <c r="V12" i="2"/>
  <c r="W12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P21" i="2"/>
  <c r="Q21" i="2"/>
  <c r="R21" i="2"/>
  <c r="S21" i="2"/>
  <c r="T21" i="2"/>
  <c r="U21" i="2"/>
  <c r="V21" i="2"/>
  <c r="W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P25" i="2"/>
  <c r="Q25" i="2"/>
  <c r="R25" i="2"/>
  <c r="S25" i="2"/>
  <c r="T25" i="2"/>
  <c r="U25" i="2"/>
  <c r="V25" i="2"/>
  <c r="W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P41" i="2"/>
  <c r="Q41" i="2"/>
  <c r="R41" i="2"/>
  <c r="S41" i="2"/>
  <c r="T41" i="2"/>
  <c r="U41" i="2"/>
  <c r="V41" i="2"/>
  <c r="W41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P46" i="2"/>
  <c r="Q46" i="2"/>
  <c r="R46" i="2"/>
  <c r="S46" i="2"/>
  <c r="T46" i="2"/>
  <c r="U46" i="2"/>
  <c r="W46" i="2"/>
  <c r="K47" i="2"/>
  <c r="L47" i="2"/>
  <c r="M47" i="2"/>
  <c r="N47" i="2"/>
  <c r="K48" i="2"/>
  <c r="L48" i="2"/>
  <c r="M48" i="2"/>
  <c r="N48" i="2"/>
  <c r="K49" i="2"/>
  <c r="L49" i="2"/>
  <c r="M49" i="2"/>
  <c r="N49" i="2"/>
  <c r="P49" i="2"/>
  <c r="Q49" i="2"/>
  <c r="R49" i="2"/>
  <c r="S49" i="2"/>
  <c r="T49" i="2"/>
  <c r="U49" i="2"/>
  <c r="V49" i="2"/>
  <c r="W49" i="2"/>
  <c r="K50" i="2"/>
  <c r="L50" i="2"/>
  <c r="M50" i="2"/>
  <c r="N50" i="2"/>
  <c r="K51" i="2"/>
  <c r="L51" i="2"/>
  <c r="M51" i="2"/>
  <c r="N51" i="2"/>
  <c r="K52" i="2"/>
  <c r="L52" i="2"/>
  <c r="M52" i="2"/>
  <c r="N52" i="2"/>
  <c r="P52" i="2"/>
  <c r="Q52" i="2"/>
  <c r="R52" i="2"/>
  <c r="S52" i="2"/>
  <c r="T52" i="2"/>
  <c r="U52" i="2"/>
  <c r="V52" i="2"/>
  <c r="W52" i="2"/>
  <c r="K55" i="2"/>
  <c r="L55" i="2"/>
  <c r="M55" i="2"/>
  <c r="N55" i="2"/>
  <c r="P55" i="2"/>
  <c r="Q55" i="2"/>
  <c r="R55" i="2"/>
  <c r="S55" i="2"/>
  <c r="T55" i="2"/>
  <c r="U55" i="2"/>
  <c r="V55" i="2"/>
  <c r="W55" i="2"/>
  <c r="K56" i="2"/>
  <c r="L56" i="2"/>
  <c r="M56" i="2"/>
  <c r="N56" i="2"/>
  <c r="K57" i="2"/>
  <c r="L57" i="2"/>
  <c r="M57" i="2"/>
  <c r="N57" i="2"/>
  <c r="K58" i="2"/>
  <c r="L58" i="2"/>
  <c r="M58" i="2"/>
  <c r="N58" i="2"/>
  <c r="K59" i="2"/>
  <c r="L59" i="2"/>
  <c r="M59" i="2"/>
  <c r="N59" i="2"/>
  <c r="K60" i="2"/>
  <c r="L60" i="2"/>
  <c r="M60" i="2"/>
  <c r="N60" i="2"/>
  <c r="K61" i="2"/>
  <c r="L61" i="2"/>
  <c r="M61" i="2"/>
  <c r="N61" i="2"/>
  <c r="P61" i="2"/>
  <c r="Q61" i="2"/>
  <c r="R61" i="2"/>
  <c r="S61" i="2"/>
  <c r="T61" i="2"/>
  <c r="U61" i="2"/>
  <c r="V61" i="2"/>
  <c r="W61" i="2"/>
  <c r="K62" i="2"/>
  <c r="L62" i="2"/>
  <c r="M62" i="2"/>
  <c r="N62" i="2"/>
  <c r="K63" i="2"/>
  <c r="L63" i="2"/>
  <c r="M63" i="2"/>
  <c r="N63" i="2"/>
  <c r="P63" i="2"/>
  <c r="Q63" i="2"/>
  <c r="R63" i="2"/>
  <c r="S63" i="2"/>
  <c r="T63" i="2"/>
  <c r="U63" i="2"/>
  <c r="V63" i="2"/>
  <c r="W63" i="2"/>
  <c r="K64" i="2"/>
  <c r="L64" i="2"/>
  <c r="M64" i="2"/>
  <c r="N64" i="2"/>
  <c r="K65" i="2"/>
  <c r="L65" i="2"/>
  <c r="M65" i="2"/>
  <c r="N65" i="2"/>
  <c r="K66" i="2"/>
  <c r="L66" i="2"/>
  <c r="M66" i="2"/>
  <c r="N66" i="2"/>
  <c r="K67" i="2"/>
  <c r="L67" i="2"/>
  <c r="M67" i="2"/>
  <c r="N67" i="2"/>
  <c r="K68" i="2"/>
  <c r="L68" i="2"/>
  <c r="M68" i="2"/>
  <c r="N68" i="2"/>
  <c r="K69" i="2"/>
  <c r="L69" i="2"/>
  <c r="M69" i="2"/>
  <c r="N69" i="2"/>
  <c r="K70" i="2"/>
  <c r="L70" i="2"/>
  <c r="M70" i="2"/>
  <c r="N70" i="2"/>
  <c r="P70" i="2"/>
  <c r="Q70" i="2"/>
  <c r="R70" i="2"/>
  <c r="S70" i="2"/>
  <c r="T70" i="2"/>
  <c r="U70" i="2"/>
  <c r="V70" i="2"/>
  <c r="W70" i="2"/>
  <c r="K74" i="2"/>
  <c r="L74" i="2"/>
  <c r="M74" i="2"/>
  <c r="N74" i="2"/>
  <c r="K75" i="2"/>
  <c r="L75" i="2"/>
  <c r="M75" i="2"/>
  <c r="N75" i="2"/>
  <c r="K76" i="2"/>
  <c r="L76" i="2"/>
  <c r="M76" i="2"/>
  <c r="N76" i="2"/>
  <c r="K77" i="2"/>
  <c r="L77" i="2"/>
  <c r="M77" i="2"/>
  <c r="N77" i="2"/>
  <c r="K79" i="2"/>
  <c r="L79" i="2"/>
  <c r="M79" i="2"/>
  <c r="N79" i="2"/>
  <c r="K80" i="2"/>
  <c r="L80" i="2"/>
  <c r="M80" i="2"/>
  <c r="N80" i="2"/>
  <c r="K81" i="2"/>
  <c r="L81" i="2"/>
  <c r="M81" i="2"/>
  <c r="N81" i="2"/>
  <c r="K82" i="2"/>
  <c r="L82" i="2"/>
  <c r="M82" i="2"/>
  <c r="N82" i="2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P86" i="2"/>
  <c r="Q86" i="2"/>
  <c r="R86" i="2"/>
  <c r="S86" i="2"/>
  <c r="T86" i="2"/>
  <c r="U86" i="2"/>
  <c r="V86" i="2"/>
  <c r="W86" i="2"/>
  <c r="K87" i="2"/>
  <c r="L87" i="2"/>
  <c r="M87" i="2"/>
  <c r="N87" i="2"/>
  <c r="K88" i="2"/>
  <c r="L88" i="2"/>
  <c r="M88" i="2"/>
  <c r="N88" i="2"/>
  <c r="K89" i="2"/>
  <c r="L89" i="2"/>
  <c r="M89" i="2"/>
  <c r="N89" i="2"/>
  <c r="K90" i="2"/>
  <c r="L90" i="2"/>
  <c r="M90" i="2"/>
  <c r="N90" i="2"/>
  <c r="K91" i="2"/>
  <c r="L91" i="2"/>
  <c r="M91" i="2"/>
  <c r="N91" i="2"/>
  <c r="K92" i="2"/>
  <c r="L92" i="2"/>
  <c r="M92" i="2"/>
  <c r="N92" i="2"/>
  <c r="K93" i="2"/>
  <c r="L93" i="2"/>
  <c r="M93" i="2"/>
  <c r="N93" i="2"/>
  <c r="K94" i="2"/>
  <c r="L94" i="2"/>
  <c r="M94" i="2"/>
  <c r="N94" i="2"/>
  <c r="P94" i="2"/>
  <c r="Q94" i="2"/>
  <c r="R94" i="2"/>
  <c r="S94" i="2"/>
  <c r="T94" i="2"/>
  <c r="U94" i="2"/>
  <c r="V94" i="2"/>
  <c r="W94" i="2"/>
  <c r="K95" i="2"/>
  <c r="L95" i="2"/>
  <c r="M95" i="2"/>
  <c r="N95" i="2"/>
  <c r="K96" i="2"/>
  <c r="L96" i="2"/>
  <c r="M96" i="2"/>
  <c r="N96" i="2"/>
  <c r="K97" i="2"/>
  <c r="L97" i="2"/>
  <c r="M97" i="2"/>
  <c r="N97" i="2"/>
  <c r="K98" i="2"/>
  <c r="L98" i="2"/>
  <c r="M98" i="2"/>
  <c r="N98" i="2"/>
  <c r="K99" i="2"/>
  <c r="L99" i="2"/>
  <c r="M99" i="2"/>
  <c r="N99" i="2"/>
  <c r="K100" i="2"/>
  <c r="L100" i="2"/>
  <c r="M100" i="2"/>
  <c r="N100" i="2"/>
  <c r="K101" i="2"/>
  <c r="L101" i="2"/>
  <c r="M101" i="2"/>
  <c r="N101" i="2"/>
  <c r="K102" i="2"/>
  <c r="L102" i="2"/>
  <c r="M102" i="2"/>
  <c r="N102" i="2"/>
  <c r="P102" i="2"/>
  <c r="Q102" i="2"/>
  <c r="R102" i="2"/>
  <c r="S102" i="2"/>
  <c r="T102" i="2"/>
  <c r="U102" i="2"/>
  <c r="V102" i="2"/>
  <c r="K103" i="2"/>
  <c r="L103" i="2"/>
  <c r="M103" i="2"/>
  <c r="N103" i="2"/>
  <c r="K104" i="2"/>
  <c r="L104" i="2"/>
  <c r="M104" i="2"/>
  <c r="N104" i="2"/>
  <c r="K105" i="2"/>
  <c r="L105" i="2"/>
  <c r="M105" i="2"/>
  <c r="N105" i="2"/>
  <c r="K106" i="2"/>
  <c r="L106" i="2"/>
  <c r="M106" i="2"/>
  <c r="N106" i="2"/>
  <c r="K107" i="2"/>
  <c r="L107" i="2"/>
  <c r="M107" i="2"/>
  <c r="N107" i="2"/>
  <c r="K108" i="2"/>
  <c r="L108" i="2"/>
  <c r="M108" i="2"/>
  <c r="N108" i="2"/>
  <c r="K109" i="2"/>
  <c r="L109" i="2"/>
  <c r="M109" i="2"/>
  <c r="N109" i="2"/>
  <c r="K110" i="2"/>
  <c r="L110" i="2"/>
  <c r="M110" i="2"/>
  <c r="N110" i="2"/>
  <c r="P110" i="2"/>
  <c r="Q110" i="2"/>
  <c r="R110" i="2"/>
  <c r="S110" i="2"/>
  <c r="T110" i="2"/>
  <c r="U110" i="2"/>
  <c r="V110" i="2"/>
  <c r="K111" i="2"/>
  <c r="L111" i="2"/>
  <c r="M111" i="2"/>
  <c r="N111" i="2"/>
  <c r="K112" i="2"/>
  <c r="L112" i="2"/>
  <c r="M112" i="2"/>
  <c r="N112" i="2"/>
  <c r="K113" i="2"/>
  <c r="L113" i="2"/>
  <c r="M113" i="2"/>
  <c r="N113" i="2"/>
  <c r="K114" i="2"/>
  <c r="L114" i="2"/>
  <c r="M114" i="2"/>
  <c r="N114" i="2"/>
  <c r="K115" i="2"/>
  <c r="L115" i="2"/>
  <c r="M115" i="2"/>
  <c r="N115" i="2"/>
  <c r="K116" i="2"/>
  <c r="L116" i="2"/>
  <c r="M116" i="2"/>
  <c r="N116" i="2"/>
  <c r="K117" i="2"/>
  <c r="L117" i="2"/>
  <c r="M117" i="2"/>
  <c r="N117" i="2"/>
  <c r="K118" i="2"/>
  <c r="L118" i="2"/>
  <c r="M118" i="2"/>
  <c r="N118" i="2"/>
  <c r="P118" i="2"/>
  <c r="Q118" i="2"/>
  <c r="R118" i="2"/>
  <c r="S118" i="2"/>
  <c r="T118" i="2"/>
  <c r="U118" i="2"/>
  <c r="V118" i="2"/>
</calcChain>
</file>

<file path=xl/sharedStrings.xml><?xml version="1.0" encoding="utf-8"?>
<sst xmlns="http://schemas.openxmlformats.org/spreadsheetml/2006/main" count="1031" uniqueCount="196">
  <si>
    <t>Niediegetyczny (HUD)</t>
  </si>
  <si>
    <t>S</t>
  </si>
  <si>
    <t>N</t>
  </si>
  <si>
    <t>N/A</t>
  </si>
  <si>
    <t>C</t>
  </si>
  <si>
    <t>Połączenie dźwięków duchów, wizualnych efektów i wibracji przy zjawiskach. Umiarkowana intensywność, celowo niesynchroniczna dla budowania lęku.</t>
  </si>
  <si>
    <t>The Exorcist: Legion VR – Chapter 1</t>
  </si>
  <si>
    <t>Telefrag VR</t>
  </si>
  <si>
    <t>Zaklęcia z efektami wizualnymi, dźwiękiem i słabymi wibracjami. Słaba intensywność, podstawowa synchronizacja.</t>
  </si>
  <si>
    <t>Skyrim VR</t>
  </si>
  <si>
    <t>Światła zagadki, dźwięk rozwiązania i subtelna wibracja. Umiarkowana intensywność, płynnie zsynchronizowana.</t>
  </si>
  <si>
    <t>Profundum</t>
  </si>
  <si>
    <t>No Man's Sky VR</t>
  </si>
  <si>
    <t>Połączenie wirtualnych dłoni, dźwięków broni i wibracji odrzutu. Bardzo intensywna, doskonale zsynchronizowana – uznawana za benchmark w VR.</t>
  </si>
  <si>
    <t>Half-Life: Alyx</t>
  </si>
  <si>
    <t>Integracja wizualnej fizyki, dźwięków kolizji i intensywnych wibracji. Bardzo intensywna, precyzyjnie zsynchronizowana, ale męcząca przy długiej grze.</t>
  </si>
  <si>
    <t>Boneworks</t>
  </si>
  <si>
    <t>Połączenie wizualnych efektów, dźwięku cięcia i wibracji przy trafieniu bloku. Bardzo intensywna, idealnie zsynchronizowana – kluczowa dla doświadczenia gry.</t>
  </si>
  <si>
    <t>Beat Saber</t>
  </si>
  <si>
    <t>Informacja multimodalna</t>
  </si>
  <si>
    <t>Wibracje przy otwieraniu drzwi i interakcji z przedmiotami. Delikatna, celowo przerywana dla napięcia.</t>
  </si>
  <si>
    <t>Wibracje przy strzelaniu i otrzymaniu obrażeń. Intensywna, dobrze zsynchronizowana z dźwiękiem.</t>
  </si>
  <si>
    <t>Subtelne wibracje przy rzucaniu zaklęć. Bardzo słaba intensywność, podstawowa synchronizacja.</t>
  </si>
  <si>
    <t>Wibracje przy rozwiązaniu zagadki. Delikatna, dobrze zsynchronizowana z wizualnymi efektami.</t>
  </si>
  <si>
    <t>Delikatne wibracje przy interakcji z panelami statku. Słaba intensywność, subtelnie zsynchronizowana.</t>
  </si>
  <si>
    <t>Wibracje przy strzelaniu, manipulowaniu obiektami i odrzucie broni. Intensywna, doskonale zsynchronizowana ze wszystkimi kanałami.</t>
  </si>
  <si>
    <t>Silne wibracje i opór przy pchaniu obiektów. Bardzo intensywna, precyzyjnie zsynchronizowana z fizyką.</t>
  </si>
  <si>
    <t>Wibracje kontrolerów przy trafieniu bloku. Umiarkowana intensywność, idealnie zsynchronizowana z dźwiękiem i wizualnymi efektami.</t>
  </si>
  <si>
    <t>Informacja haptyczna</t>
  </si>
  <si>
    <t>Szepty, odgłosy duchów i napięcia. Bardzo intensywna, celowo niesynchroniczna dla efektu przerażenia.</t>
  </si>
  <si>
    <t>Dźwięki strzałów i eksplozji. Intensywna, dobrze zsynchronizowana z akcją.</t>
  </si>
  <si>
    <t>Dźwięki zaklęć, broni i środowiska. Słaba intensywność, podstawowa synchronizacja.</t>
  </si>
  <si>
    <t>Atmosferyczna muzyka i dźwięki zagadek. Umiarkowana, dobrze zsynchronizowana z postępem.</t>
  </si>
  <si>
    <t>Dźwięki silnika statku i środowiska planetarnego. Delikatna, spójna z tempem eksploracji.</t>
  </si>
  <si>
    <t>Dźwięki broni, środowiskowe i głosy postaci. Bardzo intensywna, doskonale zsynchronizowana z akcją i przestrzenią 3D.</t>
  </si>
  <si>
    <t>Dźwięki kolizji, trzasków i fizyki obiektów. Intensywna, precyzyjnie zsynchronizowana z ruchem i haptyką.</t>
  </si>
  <si>
    <t>Dźwięki cięcia bloków i muzyka jako podstawa rozgrywki. Bardzo intensywna, idealnie zsynchronizowana z rytmem i wizualnymi efektami.</t>
  </si>
  <si>
    <t>Informacja dźwiękowa</t>
  </si>
  <si>
    <t>Pasek sanity u dołu ekranu. Delikatna, celowo widoczna dla napięcia.</t>
  </si>
  <si>
    <t>Licznik punktów i czasu na ekranie. Umiarkowana, typowa dla gier FPS.</t>
  </si>
  <si>
    <t>Paski zdrowia, many i wytrzymałości na ekranie. Intensywna, przerywa immersję w świecie.</t>
  </si>
  <si>
    <t>Pasek postępu zagadki na ekranie. Słaba, funkcjonalna.</t>
  </si>
  <si>
    <t>Wskaźniki nawigacji i celu na ekranie. Delikatna, nie przeszkadza w eksploracji.</t>
  </si>
  <si>
    <t>Minimalny wskaźnik amunicji na broni. Bardzo słaba intensywność, subtelnie zintegrowana.</t>
  </si>
  <si>
    <t>Pasek zdrowia i wskaźnik amunicji na ekranie. Umiarkowana, minimalnie zakłóca immersję.</t>
  </si>
  <si>
    <t>Pasek energii u góry ekranu, licznik punktów. Słaba intensywność, stała, nie zakłóca rozgrywki.</t>
  </si>
  <si>
    <t>Informacja wizualna – niediegetyczna (HUD)</t>
  </si>
  <si>
    <t>Świecące obiekty paranormalne w pomieszczeniach. Delikatna, celowo niesynchroniczna dla budowania napięcia.</t>
  </si>
  <si>
    <t>Efekty broni i eksplozji w środowisku. Intensywna, dobrze zsynchronizowana z akcją.</t>
  </si>
  <si>
    <t>Kompas na nadgarstku, efekty czarów w dłoniach. Słaba intensywność, podstawowa synchronizacja.</t>
  </si>
  <si>
    <t>Świecące elementy zagadek w środowisku. Umiarkowana, płynnie zsynchronizowana z postępem rozgrywki.</t>
  </si>
  <si>
    <t>Światła na multi-toolu i statku podczas interakcji. Delikatna, dobrze zsynchronizowana z akcjami.</t>
  </si>
  <si>
    <t>Świecące punkty interakcji na obiektach, wirtualne dłonie. Umiarkowana intensywność, idealnie zsynchronizowana z ruchami gracza.</t>
  </si>
  <si>
    <t>Fizyczne deformacje i roztrzaskiwanie obiektów przy kolizji. Bardzo intensywna, precyzyjnie zsynchronizowana z fizyką.</t>
  </si>
  <si>
    <t>Efekty iskrzenia i rozpadania się bloków przy cięciu. Intensywna, doskonale zsynchronizowana z rytmem muzyki i ruchem mieczy.</t>
  </si>
  <si>
    <t>Informacja wizualna – diegetyczna</t>
  </si>
  <si>
    <t>Opis działania i ocena</t>
  </si>
  <si>
    <t>Gdzie</t>
  </si>
  <si>
    <t>Wzorzec</t>
  </si>
  <si>
    <t>Tunneling (zwężanie ekranu do tunelu podczas ruchu). Redukuje mdłości przy szybkich ruchach charakterystycznych dla gier FPS, ale ogranicza pole widzenia i może przeszkadzać w walce.</t>
  </si>
  <si>
    <t>Snap rotation (obrót o ustalone kąty). Pomaga uniknąć mdłości przy gładkiej lokomocji, ale niektórzy gracze uważają to za irytujące przy długiej grze.</t>
  </si>
  <si>
    <t>Vignette (zwężanie pola widzenia podczas ruchu). Skutecznie redukuje mdłości przy gładkiej lokomocji, ale niektórzy gracze uważają to za irytujące ograniczenie percepcji.</t>
  </si>
  <si>
    <t>Snap rotation (obrót o stałe kąty). Pomaga uniknąć mdłości podczas długich sesji, ale może przeszkadzać przy precyzyjnej nawigacji w kosmosie.</t>
  </si>
  <si>
    <t>Lokomocja z mechanizmami komfortu</t>
  </si>
  <si>
    <t>Gracz wskazuje punkt kontrolerem i natychmiast się przenosi. Działa dobrze dla komfortu, ale przerwa w ciągłości ruchu utrudnia immersję w napiętej atmosferze horroru.</t>
  </si>
  <si>
    <t>Dostępna jako opcja. Działa poprawnie, ale większość graczy wybiera gładką lokomocję ze względu na dynamiczny charakter gry FPS.</t>
  </si>
  <si>
    <t>Dostępna jako opcja w ustawieniach. Działa poprawnie, ale psuje płynność eksploracji otwartego świata, przez co większość graczy preferuje gładką lokomocję.</t>
  </si>
  <si>
    <t>Podstawowy tryb ruchu z wizualnym wskaźnikiem trajektorii. Działa płynnie i komfortowo, dobrze dopasowana do tempa gry przygodowej.</t>
  </si>
  <si>
    <t>Dostępna w ustawieniach komfortu. Działa poprawnie, ale mało popularna ze względu na potrzebę płynnej eksploracji planet i kosmosu.</t>
  </si>
  <si>
    <t>Dostępna głównie w wersji Quest. Działa sprawnie, ale Valve zoptymalizowała grę pod gładką lokomocję, przez co teleportacja utrudnia niektóre sekwencje.</t>
  </si>
  <si>
    <t>Dostępna jako opcja zapasowa. Działa poprawnie, ale kontrastuje z filozofią gry opartej na fizyce, przez co jest rzadko używana przez graczy.</t>
  </si>
  <si>
    <t>Teleportacja</t>
  </si>
  <si>
    <t>Obrót o stałe kąty (zazwyczaj 30° lub 45°). Skutecznie redukuje mdłości, ale częste użycie irytuje i przerywa skupienie podczas eksploracji.</t>
  </si>
  <si>
    <t>Obrót o ustalone kąty dostępny niezależnie od wyboru trybu ruchu. Pomaga uniknąć mdłości przy gładkiej lokomocji, ale niektórzy gracze uważają to za irytujące przy długiej grze.</t>
  </si>
  <si>
    <t>Opcjonalny obrót o stałe kąty. Pomaga uniknąć mdłości podczas długich sesji, ale może przeszkadzać przy precyzyjnej nawigacji w kosmosie.</t>
  </si>
  <si>
    <t>Wciąganie się po linach, popychanie przedmiotów. Nie jest głównym trybem ruchu, ale wzbogaca immersję i rozwiązywanie zagadek. Działa intuicyjnie i spójnie z resztą mechanik.</t>
  </si>
  <si>
    <t>Half-Life: Alyx - elementy</t>
  </si>
  <si>
    <t>Ruch generowany przez pchanie się od powierzchni, ciągnięcie za uchwyty lub wspinaczkę. Działa rewelacyjnie dla immersji i poczucia obecności, ale wymaga dużego wysiłku fizycznego i przestrzeni.</t>
  </si>
  <si>
    <t>Lokomocja fizyczna</t>
  </si>
  <si>
    <t>Podstawowy tryb ruchu z regulacją prędkości. Działa dobrze dla graczy zaznajomionych z VR, ale wymaga aklimatyzacji.</t>
  </si>
  <si>
    <t>Ruch analogiem z regulacją prędkości. Działa dobrze po aklimatyzacji, pozwala na naturalną eksplorację, ale początkujący gracze często odczuwają dyskomfort.</t>
  </si>
  <si>
    <t>Opcjonalna, dostępna w ustawieniach. Działa poprawnie, ale większość graczy wybiera teleportację ze względu na komfort i styl rozgrywki.</t>
  </si>
  <si>
    <t>Podstawowy tryb ruchu z regulacją prędkości. Działa dobrze po aklimatyzacji, kluczowa dla przyjemnej eksploracji otwartych światów.</t>
  </si>
  <si>
    <t>Domyślny tryb ruchu na PC VR. Zoptymalizowana pod kątem komfortu: płynna, bez nagłych skrętów kamery, z naturalnymi ruchami ciała. Działa bardzo dobrze, uznawana za benchmark w przemyślanej lokomocji VR.</t>
  </si>
  <si>
    <t>Standardowy ruch analogiem. Działa poprawnie, ale jest mniej immersyjna niż lokomocja fizyczna, którą gra promuje jako główne rozwiązanie.</t>
  </si>
  <si>
    <t>Gładka lokomocja</t>
  </si>
  <si>
    <t>Świat porusza się wokół nieruchomego gracza. Działanie idealne dla gry rytmicznej, eliminuje mdłości i skupia uwagę na precyzyjnych gestach.</t>
  </si>
  <si>
    <t>Brak lokomocji</t>
  </si>
  <si>
    <t>Widoczne kieszenie i przegródki na ramionach i biodrach kombinezonu, gdzie przechowywane są małe zasoby (np. minerały). Gracz wyciąga przedmioty gestem chwytu z konkretnej lokalizacji na ciele, a sloty wizualnie pustnieją po wyjęciu zawartości.</t>
  </si>
  <si>
    <t>No Man's Sky VR – sloty na kombinezonie</t>
  </si>
  <si>
    <t>Quiver z widocznymi strzałami przymocowany do pleców postaci oraz pas z kieszeniami na mikstury przy biodrach. Dostęp do amunicji wymaga fizycznego ruchu ręki w tył (chwyt strzały z quivera) lub w dół (chwyt mikstury z pasa). Liczba strzał widoczna jest bezpośrednio na modelu quivera.</t>
  </si>
  <si>
    <t>Skyrim VR – quiver i pas na mikstury</t>
  </si>
  <si>
    <t>Magnes i śrubokręt przypięte do pasa na biodrach postaci. Gracz wyciąga narzędzie gestem chwytu, a po użyciu może je "odłożyć" z powrotem na pas – obiekt przyciągany jest magnetycznie do slotu. Sloty widoczne są na modelu postaci przez całą rozgrywkę.</t>
  </si>
  <si>
    <t>Half-Life: Alyx – pas z narzędziami</t>
  </si>
  <si>
    <t>Ekwipunek – sloty przypięte do ciała</t>
  </si>
  <si>
    <t>Fizyczne przegródki i półki w kokpicie statku, gdzie składowane są zasoby i narzędzia. Dostęp do slotów wymaga spojrzenia w dół lub na boki oraz ręcznego włożenia/wyciągnięcia przedmiotu. Sloty są oświetlone neonowymi lampkami.</t>
  </si>
  <si>
    <t>No Man's Sky VR – kokpit statku</t>
  </si>
  <si>
    <t>Wirtualna strefa przed postacią (tzw. "inventory space"), gdzie broń i przedmioty istnieją jako fizyczne obiekty. Gracz może je układać przestrzennie, obracać i przenosić między "półkami". Przedmioty pozostają w tej przestrzeni nawet po opuszczeniu ich dłoni.</t>
  </si>
  <si>
    <t>Boneworks – przestrzeń inventory</t>
  </si>
  <si>
    <t>Fizyczna, przypięta do klatki piersiowej torba z dwiema komorami. Gracz ręcznie wkłada i wyciąga przedmioty (amunicję, granaty, narzędzia), widząc ich położenie wewnątrz worka. Przedmioty zachowują fizykę – mogą się przesuwać lub wypaść przy gwałtownych ruchach.</t>
  </si>
  <si>
    <t>Half-Life: Alyx – torba na piersi</t>
  </si>
  <si>
    <t>Ekwipunek – diegetyczny (plecak, skrzynka, pas)</t>
  </si>
  <si>
    <t>Holograficzny panel zakotwiczony w przestrzeni przed lewą dłonią, wyświetlający sloty na zasoby (minerały, rośliny), technologie i narzędzia. Elementy można przemieszczać gestem chwytu i przeciągnięcia między slotami.</t>
  </si>
  <si>
    <t>No Man's Sky VR – menu inwentarza</t>
  </si>
  <si>
    <t>Siatka ikon broni wyświetlana centralnie przed postacią podczas respawna lub na początku rundy. Gracz wskazuje broń kontrolerem, po czym broń pojawia się w dłoni. Menu służy wyłącznie do inicjalnego wyboru – w trakcie walki brak dostępu do panelu (broń podnoszona z mapy lub zmieniana przez pickupy).</t>
  </si>
  <si>
    <t>Telefrag VR – menu wyboru broni</t>
  </si>
  <si>
    <t>Pełnoekranowa siatka wyposażenia wyświetlana po wciśnięciu przycisku pauzy. Prezentuje broń, narzędzia i amunicję w postaci ikon uporządkowanych w kolumnach, z możliwością przewijania gestem. Blokuje interakcję ze światem gry.</t>
  </si>
  <si>
    <t>Boneworks – menu pauzy</t>
  </si>
  <si>
    <t>Kwadratowe menu 4×4 ikon aktywowane przyciśnięciem przycisku na kontrolerze, zakotwiczone w przestrzeni przed postacią. Zawiera kategorie: broń, mikstury, runy, artefakty. Wybór wymaga fizycznego wskazania slotu kontrolerem, z podświetleniem aktywnego elementu.</t>
  </si>
  <si>
    <t>Skyrim VR – menu radialne</t>
  </si>
  <si>
    <t>Ekwipunek – panel</t>
  </si>
  <si>
    <t>Opis</t>
  </si>
  <si>
    <t>Panele z ruchomymi elementami wymagające fizycznego przesuwania klocków dłonią w celu ukończenia obwodu, z widocznym feedbackiem w postaci zapalenia się diod.</t>
  </si>
  <si>
    <t>Half-Life: Alyx – hackowanie</t>
  </si>
  <si>
    <t>Magazynki i naboje fizycznie wkładane do broni (np. pistoletu), z licznikiem kul widocznym w okienku na korpusie broni.</t>
  </si>
  <si>
    <t>Half-Life: Alyx – amunicja na broni</t>
  </si>
  <si>
    <t>Fizyczny pas z woreczkami na piersi, do którego gracz wkłada amunicję, granaty i narzędzia, wymagający ręcznego wyciągania przedmiotów gestem chwytu.</t>
  </si>
  <si>
    <t>Nadgarstek lewej ręki wyposażony w trzy pierścienie LED pokazujące zdrowie (zielony → czerwony) oraz cyfrowy licznik amunicji dla aktualnie trzymanej broni, widoczny przy spojrzeniu w dół.</t>
  </si>
  <si>
    <t>Half-Life: Alyx – rękawica Russells</t>
  </si>
  <si>
    <t>Urządzenie trzymane w dłoni emitujące zielony promień skanujący, z projekcją wyników analizy (nazwa obiektu, skład chemiczny) bezpośrednio nad skanowanym przedmiotem.</t>
  </si>
  <si>
    <t>No Man's Sky VR – multi-tool</t>
  </si>
  <si>
    <t>Pełny panel kontrolny z fizycznymi wyświetlaczami pokazującymi prędkość, stan tarcz, współrzędne i status systemów, oświetlony neonowymi lampkami, wymagający spojrzenia w dół lub na boki.</t>
  </si>
  <si>
    <t>Dźwignie, koła i przyciski fizycznie osadzone w świecie, wymagające ręcznego manipulowania, z widocznym feedbackiem w postaci ruchu elementów.</t>
  </si>
  <si>
    <t>Profundum – mechanizmy środowiskowe</t>
  </si>
  <si>
    <t>Graficzne ikony i sekwencje kolorów wbudowane w architekturę poziomu, stanowiące podpowiedzi do rozwiązania puzzle, widoczne tylko z określonych punktów widzenia.</t>
  </si>
  <si>
    <t>Profundum – symbole na ścianach</t>
  </si>
  <si>
    <t>Widoczne pęknięcia i deformacje modelu broni narastające wraz z jej zużyciem, prowadzące do całkowitego rozpadu obiektu na części.</t>
  </si>
  <si>
    <t>Boneworks – kondycja broni</t>
  </si>
  <si>
    <t>Wirtualna „kieszeń” przed postacią, gdzie broń i przedmioty istnieją jako fizyczne obiekty, możliwe do chwytania, przenoszenia i układania przestrzennie.</t>
  </si>
  <si>
    <t>Naboi fizycznie widoczne w magazynku (np. kulki w karabinie) lub komorze broni, wymagające manualnego przeładowania poprzez włożenie nowego magazynka z inventory space.</t>
  </si>
  <si>
    <t>Boneworks – amunicja na broni</t>
  </si>
  <si>
    <t>Przedmioty do czytania trzymane w dłoniach, możliwe do obracania i przewracania stron gestem, zawierające lore świata i opisy questów.</t>
  </si>
  <si>
    <t>Skyrim VR – książki i zwoje</t>
  </si>
  <si>
    <t>Skórzana mapa fizycznie trzymana w lewej dłoni, rozwijana gestem, z kompasem na jej krawędzi wskazującym kierunek, oświetlona światłem otoczenia.</t>
  </si>
  <si>
    <t>Skyrim VR – mapa i kompas</t>
  </si>
  <si>
    <t>Przedmioty sakralne trzymane w dłoni, emitujące dźwięki lub wibracje kontrolera w obecności duchów, stanowiące jednocześnie broń i narzędzie diagnostyczne.</t>
  </si>
  <si>
    <t>The Exorcist: Legion VR – krzyż i artefakty</t>
  </si>
  <si>
    <t>Fizyczne dokumenty trzymane w dłoni gracza, możliwe do obracania, zbliżania i przeglądania stron, stanowiące główne źródło informacji fabularnych i podpowiedzi.</t>
  </si>
  <si>
    <t>The Exorcist: Legion VR – notesy i zdjęcia</t>
  </si>
  <si>
    <t>Liczba pozostałych naboi wyświetlana jako cyfrowy licznik lub kropki na fizycznym modelu broni (np. na korpusie karabinu), widoczna tylko przy spojrzeniu na broń.</t>
  </si>
  <si>
    <t>Telefrag VR – amunicja na broni</t>
  </si>
  <si>
    <t>Diegetyczny</t>
  </si>
  <si>
    <t>Ikony promieniowania, toksyczności lub ekstremalnej temperatury pojawiające się u dołu ekranu obok głównych wskaźników, ostrzegające przed niebezpieczeństwem przed jego fizycznym oddziaływaniem na postać.</t>
  </si>
  <si>
    <t>No Man's Sky VR – hazardy środowiskowe</t>
  </si>
  <si>
    <t>Stopniowe zakłócenia obrazu (czerwone pulsacje, zniekształcenia krawędzi ekranu, szelest) narastające wraz ze spadkiem poziomu sanity, niezwiązane z fizycznymi źródłami w świecie (np. duchami).</t>
  </si>
  <si>
    <t>The Exorcist: Legion VR – sanity</t>
  </si>
  <si>
    <t>Cyfrowy odliczający czas (w sekundach) pojawiający się centralnie po śmierci gracza, informujący o pozostałym czasie do powrotu do akcji, niezwiązany z żadnym obiektem świata.</t>
  </si>
  <si>
    <t>Telefrag VR – timer respawna</t>
  </si>
  <si>
    <t>Statusowy</t>
  </si>
  <si>
    <t>Przy budowie bazy, elementy konstrukcyjne (ściany, platformy) pojawiają się jako półprzezroczyste, niebieskie hologramy zakotwiczone w wybranej pozycji przestrzeni, możliwe do rotacji i skalowania gestami.</t>
  </si>
  <si>
    <t>No Man's Sky VR – hologramy budowy</t>
  </si>
  <si>
    <t>Panel z ikonami systemów statku lub narzędzia wielofunkcyjnego (multi-tool) zakotwiczony w przestrzeni przed lewą dłonią, możliwy do przesuwania gestem chwytu i przeciągnięcia.</t>
  </si>
  <si>
    <t>No Man's Sky VR – menu technologii</t>
  </si>
  <si>
    <t>Lista opcji dialogowych z NPC wyświetlana jako pionowa kolumna tekstu zakotwiczona w odległości 2 metrów przed postacią, niezależna od ruchu postaci NPC.</t>
  </si>
  <si>
    <t>Skyrim VR – menu dialogów</t>
  </si>
  <si>
    <t>Ciemna, półprzezroczysta nakładka z ikonami ustawień, zapisu i wyjścia, blokująca interakcję ze światem, aktywowana przyciskiem na kontrolerze.</t>
  </si>
  <si>
    <t>Half-Life: Alyx – menu pauzy</t>
  </si>
  <si>
    <t>Kierunek questu wskazywany jest przez diegetyczny kompas na mapie trzymanej w dłoni lub na minimapie w lewym dolnym rogu (która sama jest niediegetyczna)</t>
  </si>
  <si>
    <t>Skyrim VR Kompas</t>
  </si>
  <si>
    <t>Menu w kształcie koła podzielonego na sektory (broń, mikstury, runy), przypięte do przestrzeni przed dłonią gracza, wymagające fizycznego wskazania sektora kontrolerem.</t>
  </si>
  <si>
    <t>Skyrim VR – menu radialne ekwipunku</t>
  </si>
  <si>
    <t>Kwadratowa siatka ikon broni zakotwiczona w stałej odległości 1,5 metra przed postacią podczas pauzy, obracająca się razem z graczem, ale nie przemieszczająca się w świecie.</t>
  </si>
  <si>
    <t>Telefrag VR – menu broni</t>
  </si>
  <si>
    <t>Pływające prostokątne paski nad głowami przeciwników pokazujące ich pozostałe zdrowie, aktualizowane w czasie rzeczywistym, widoczne niezależnie od dystansu i kąta widzenia.</t>
  </si>
  <si>
    <t>Telefrag VR – paski zdrowia przeciwników</t>
  </si>
  <si>
    <t>Przestrzenny</t>
  </si>
  <si>
    <t>Mała ikona oka w lewym górnym rogu zmieniająca kolor z białego na czerwony, gdy NPC wykrywa gracza podczas próby kradzieży lub podsłuchiwania.</t>
  </si>
  <si>
    <t>Skyrim VR – wskaźnik kradzieży</t>
  </si>
  <si>
    <t>Tekstowe komunikaty typu „Weź pistolet” lub „Użyj magnesu” pojawiające się jako delikatne, wyśrodkowane napisy z animacją pojawiania się i znikania, wspomagające pierwsze minuty rozgrywki.</t>
  </si>
  <si>
    <t>Half-Life: Alyx – podpowiedzi tutorialu</t>
  </si>
  <si>
    <t>Mały, stały krzyżyk w centrum pola widzenia służący do precyzyjnego wskazywania obiektów do skanowania lub strzelania, niezależny od ruchu głowy i oświetlenia.</t>
  </si>
  <si>
    <t>No Man's Sky VR – wskaźnik celowania</t>
  </si>
  <si>
    <t>Trzy półokrągłe wskaźniki u dołu ekranu (od lewej: tlen, tarcza, energia) wypełniane kolorowo w zależności od stanu, towarzyszone dźwiękowymi alertami przy krytycznych poziomach.</t>
  </si>
  <si>
    <t>No Man's Sky VR – wskaźniki życiowe</t>
  </si>
  <si>
    <t>Minimalistyczna ikona dłoni lub symbolu zapytania pojawiająca się przy obiektach interaktywnych (dźwignie, ukryte przejścia), wyświetlana jako przezroczysta nakładka na krawędzi obiektu.</t>
  </si>
  <si>
    <t>Profundum – ikony interakcji</t>
  </si>
  <si>
    <t>Trzy poziome paski (zdrowie, magia, wytrzymałość) umieszczone w lewym dolnym rogu ekranu, uzupełniane kolorowo w zależności od stanu, towarzyszone ikonami efektów aktywnych (np. trucizna, niewidzialność).</t>
  </si>
  <si>
    <t>Skyrim VR – paski atrybutów</t>
  </si>
  <si>
    <t>Stały pasek u góry ekranu prezentujący aktualny wynik liczbowy, mnożnik combo (do x12), wskaźnik energii („Energy Bar”) po obu stronach pola widzenia oraz nazwę utworu i poziom trudności przed startem.</t>
  </si>
  <si>
    <t>Beat Saber – panel wyników</t>
  </si>
  <si>
    <t>Ikona dłoni z tekstem pojawiająca się przy obiektach możliwych do zebrania lub zbadania, wyświetlana jako warstwa nad sceną, niezależna od oświetlenia i perspektywy świata gry.</t>
  </si>
  <si>
    <t>The Exorcist: Legion VR – ikony interakcji</t>
  </si>
  <si>
    <t>Tekstowe komunikaty typu „Spójrz na obiekt” lub „Weź dokument” pojawiające się jako przezroczyste nakładki w centrum pola widzenia, znikające po wykonaniu akcji, niezwiązane z fizycznymi obiektami świata.</t>
  </si>
  <si>
    <t>The Exorcist: Legion VR – podpowiedzi tutorialu</t>
  </si>
  <si>
    <t>Stała nakładka u dołu centralnie ekranu wyświetlająca aktualny wynik, czas pozostały do końca rundy oraz ikonę respawna po śmierci gracza, niezależna od pozycji głowy i nieistniejąca w świecie gry.</t>
  </si>
  <si>
    <t>Telefrag VR – licznik punktów i timer</t>
  </si>
  <si>
    <t>WZ dla wzorca w procenatch</t>
  </si>
  <si>
    <t>Tabela Końcowa</t>
  </si>
  <si>
    <t>WZ</t>
  </si>
  <si>
    <t>No Man's Sky VR - Snap rotation</t>
  </si>
  <si>
    <t>Skyrim VR -Snap rotation</t>
  </si>
  <si>
    <t>The Exorcist: Legion VR – Chapter 1 - Snap rotation</t>
  </si>
  <si>
    <t>Strzały z błyskami, dźwiękiem i wibracjami. Intensywna, dobrze zsynchronizowana  dla dynamicznej rozgrywki FPS.</t>
  </si>
  <si>
    <t>✔</t>
  </si>
  <si>
    <t>✖</t>
  </si>
  <si>
    <t xml:space="preserve">Łączenie wizualnych wskaźników, dźwięków statku i delikatnych wibracji. Delikatna intensywność, spójnie zsynchronizowana dla komfortu długiej eksploracji.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</si>
</sst>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/>
    <xf numFmtId="0" fontId="4" fillId="0" borderId="0"/>
    <xf numFmtId="0" fontId="3" fillId="0" borderId="0"/>
  </cellStyleXfs>
  <cellXfs count="20">
    <xf numFmtId="0" fontId="0" fillId="0" borderId="0" xfId="0"/>
    <xf numFmtId="0" fontId="3" fillId="0" borderId="0" xfId="3"/>
    <xf numFmtId="0" fontId="1" fillId="2" borderId="0" xfId="1"/>
    <xf numFmtId="0" fontId="4" fillId="0" borderId="0" xfId="4"/>
    <xf numFmtId="0" fontId="3" fillId="0" borderId="0" xfId="5" applyAlignment="1">
      <alignment wrapText="1"/>
    </xf>
    <xf numFmtId="0" fontId="3" fillId="0" borderId="0" xfId="5" applyAlignment="1">
      <alignment horizontal="center"/>
    </xf>
    <xf numFmtId="0" fontId="2" fillId="3" borderId="1" xfId="2" applyAlignment="1">
      <alignment wrapText="1"/>
    </xf>
    <xf numFmtId="0" fontId="2" fillId="3" borderId="1" xfId="2"/>
    <xf numFmtId="0" fontId="4" fillId="0" borderId="0" xfId="3" applyFont="1"/>
    <xf numFmtId="0" fontId="4" fillId="0" borderId="0" xfId="4" applyAlignment="1">
      <alignment wrapText="1"/>
    </xf>
    <xf numFmtId="0" fontId="4" fillId="0" borderId="0" xfId="4" applyAlignment="1">
      <alignment horizontal="center" wrapText="1"/>
    </xf>
    <xf numFmtId="0" fontId="3" fillId="0" borderId="0" xfId="5" applyAlignment="1">
      <alignment horizontal="center"/>
    </xf>
    <xf numFmtId="0" fontId="3" fillId="0" borderId="0" xfId="5"/>
    <xf numFmtId="0" fontId="3" fillId="0" borderId="0" xfId="5" applyAlignment="1">
      <alignment horizontal="center" wrapText="1"/>
    </xf>
    <xf numFmtId="0" fontId="4" fillId="0" borderId="0" xfId="5" applyFont="1"/>
    <xf numFmtId="0" fontId="4" fillId="0" borderId="0" xfId="4" applyAlignment="1">
      <alignment horizontal="center" wrapText="1"/>
    </xf>
    <xf numFmtId="0" fontId="4" fillId="0" borderId="0" xfId="4" applyAlignment="1">
      <alignment horizontal="center"/>
    </xf>
    <xf numFmtId="0" fontId="3" fillId="0" borderId="0" xfId="3" applyAlignment="1">
      <alignment horizontal="center"/>
    </xf>
    <xf numFmtId="0" fontId="4" fillId="0" borderId="2" xfId="4" applyBorder="1" applyAlignment="1">
      <alignment horizontal="center"/>
    </xf>
    <xf numFmtId="0" fontId="4" fillId="0" borderId="3" xfId="4" applyBorder="1" applyAlignment="1">
      <alignment horizontal="center" wrapText="1"/>
    </xf>
  </cellXfs>
  <cellStyles count="6">
    <cellStyle name="Calculation" xfId="2" builtinId="22"/>
    <cellStyle name="Good" xfId="1" builtinId="26"/>
    <cellStyle name="Normal" xfId="0" builtinId="0"/>
    <cellStyle name="Normal 2" xfId="3" xr:uid="{4AB66AEE-0E86-40BB-8893-1BD84F6DD2F8}"/>
    <cellStyle name="Normal 2 2" xfId="4" xr:uid="{FAE3BC2F-8122-4F33-B6D2-6F480A83901F}"/>
    <cellStyle name="Normal 3" xfId="5" xr:uid="{F038A289-CE99-4326-91FE-AE4CC8EA20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44F6-943A-4721-B977-5FDDE66900B5}">
  <dimension ref="A1:W118"/>
  <sheetViews>
    <sheetView tabSelected="1" topLeftCell="A43" zoomScale="70" zoomScaleNormal="70" workbookViewId="0">
      <selection activeCell="X44" sqref="X44"/>
    </sheetView>
  </sheetViews>
  <sheetFormatPr defaultRowHeight="15" x14ac:dyDescent="0.25"/>
  <cols>
    <col min="1" max="1" width="31.42578125" style="1" customWidth="1"/>
    <col min="2" max="2" width="20" style="1" customWidth="1"/>
    <col min="3" max="3" width="48.5703125" style="1" customWidth="1"/>
    <col min="4" max="22" width="9.140625" style="1"/>
    <col min="23" max="23" width="13.85546875" style="1" customWidth="1"/>
    <col min="24" max="16384" width="9.140625" style="1"/>
  </cols>
  <sheetData>
    <row r="1" spans="1:23" ht="15.75" x14ac:dyDescent="0.25">
      <c r="A1" s="18" t="s">
        <v>0</v>
      </c>
      <c r="B1" s="3"/>
      <c r="C1" s="9"/>
      <c r="D1" s="3"/>
      <c r="E1" s="3"/>
      <c r="F1" s="3"/>
      <c r="G1" s="3"/>
      <c r="H1" s="3"/>
      <c r="I1" s="3"/>
      <c r="J1" s="3"/>
      <c r="K1" s="1" t="s">
        <v>188</v>
      </c>
      <c r="L1" s="1" t="s">
        <v>1</v>
      </c>
      <c r="M1" s="1" t="s">
        <v>4</v>
      </c>
      <c r="N1" s="1" t="s">
        <v>2</v>
      </c>
      <c r="P1" s="17" t="s">
        <v>187</v>
      </c>
      <c r="Q1" s="17"/>
      <c r="R1" s="17"/>
      <c r="S1" s="17"/>
      <c r="T1" s="17"/>
      <c r="U1" s="17"/>
      <c r="V1" s="17"/>
      <c r="W1" s="1" t="s">
        <v>186</v>
      </c>
    </row>
    <row r="2" spans="1:23" ht="78.75" x14ac:dyDescent="0.25">
      <c r="A2" s="16"/>
      <c r="B2" s="15" t="s">
        <v>185</v>
      </c>
      <c r="C2" s="9" t="s">
        <v>184</v>
      </c>
      <c r="D2" s="8" t="s">
        <v>1</v>
      </c>
      <c r="E2" s="8" t="s">
        <v>2</v>
      </c>
      <c r="F2" s="8" t="s">
        <v>3</v>
      </c>
      <c r="G2" s="8" t="s">
        <v>2</v>
      </c>
      <c r="H2" s="8" t="s">
        <v>4</v>
      </c>
      <c r="I2" s="8" t="s">
        <v>1</v>
      </c>
      <c r="J2" s="8" t="s">
        <v>2</v>
      </c>
      <c r="K2" s="1">
        <f>IFERROR(
( COUNTIF(D2:J2,"S") + 0.5*COUNTIF(D2:J2,"C") )
/
( COUNTIF(D2:J2,"S") + COUNTIF(D2:J2,"C") + COUNTIF(D2:J2,"N") )
*100,0)</f>
        <v>41.666666666666671</v>
      </c>
      <c r="L2" s="1">
        <f>COUNTIF(D2:J2,"S")</f>
        <v>2</v>
      </c>
      <c r="M2" s="1">
        <f>COUNTIF(D2:J2,"C")</f>
        <v>1</v>
      </c>
      <c r="N2" s="1">
        <f>COUNTIF(D2:J2,"N")</f>
        <v>3</v>
      </c>
    </row>
    <row r="3" spans="1:23" ht="78.75" x14ac:dyDescent="0.25">
      <c r="A3" s="16"/>
      <c r="B3" s="15" t="s">
        <v>183</v>
      </c>
      <c r="C3" s="9" t="s">
        <v>182</v>
      </c>
      <c r="D3" s="8" t="s">
        <v>1</v>
      </c>
      <c r="E3" s="8" t="s">
        <v>2</v>
      </c>
      <c r="F3" s="8" t="s">
        <v>3</v>
      </c>
      <c r="G3" s="8" t="s">
        <v>2</v>
      </c>
      <c r="H3" s="8" t="s">
        <v>2</v>
      </c>
      <c r="I3" s="8" t="s">
        <v>1</v>
      </c>
      <c r="J3" s="8" t="s">
        <v>2</v>
      </c>
      <c r="K3" s="1">
        <f>IFERROR(
( COUNTIF(D3:J3,"S") + 0.5*COUNTIF(D3:J3,"C") )
/
( COUNTIF(D3:J3,"S") + COUNTIF(D3:J3,"C") + COUNTIF(D3:J3,"N") )
*100,0)</f>
        <v>33.333333333333329</v>
      </c>
      <c r="L3" s="1">
        <f>COUNTIF(D3:J3,"S")</f>
        <v>2</v>
      </c>
      <c r="M3" s="1">
        <f>COUNTIF(D3:J3,"C")</f>
        <v>0</v>
      </c>
      <c r="N3" s="1">
        <f>COUNTIF(D3:J3,"N")</f>
        <v>4</v>
      </c>
    </row>
    <row r="4" spans="1:23" ht="63" x14ac:dyDescent="0.25">
      <c r="A4" s="16"/>
      <c r="B4" s="15" t="s">
        <v>181</v>
      </c>
      <c r="C4" s="9" t="s">
        <v>180</v>
      </c>
      <c r="D4" s="8" t="s">
        <v>1</v>
      </c>
      <c r="E4" s="8" t="s">
        <v>2</v>
      </c>
      <c r="F4" s="8" t="s">
        <v>3</v>
      </c>
      <c r="G4" s="8" t="s">
        <v>2</v>
      </c>
      <c r="H4" s="8" t="s">
        <v>2</v>
      </c>
      <c r="I4" s="8" t="s">
        <v>1</v>
      </c>
      <c r="J4" s="8" t="s">
        <v>2</v>
      </c>
      <c r="K4" s="1">
        <f>IFERROR(
( COUNTIF(D4:J4,"S") + 0.5*COUNTIF(D4:J4,"C") )
/
( COUNTIF(D4:J4,"S") + COUNTIF(D4:J4,"C") + COUNTIF(D4:J4,"N") )
*100,0)</f>
        <v>33.333333333333329</v>
      </c>
      <c r="L4" s="1">
        <f>COUNTIF(D4:J4,"S")</f>
        <v>2</v>
      </c>
      <c r="M4" s="1">
        <f>COUNTIF(D4:J4,"C")</f>
        <v>0</v>
      </c>
      <c r="N4" s="1">
        <f>COUNTIF(D4:J4,"N")</f>
        <v>4</v>
      </c>
    </row>
    <row r="5" spans="1:23" ht="78.75" x14ac:dyDescent="0.25">
      <c r="A5" s="16"/>
      <c r="B5" s="15" t="s">
        <v>179</v>
      </c>
      <c r="C5" s="9" t="s">
        <v>178</v>
      </c>
      <c r="D5" s="8" t="s">
        <v>1</v>
      </c>
      <c r="E5" s="8" t="s">
        <v>3</v>
      </c>
      <c r="F5" s="8" t="s">
        <v>3</v>
      </c>
      <c r="G5" s="8" t="s">
        <v>1</v>
      </c>
      <c r="H5" s="8" t="s">
        <v>1</v>
      </c>
      <c r="I5" s="8" t="s">
        <v>3</v>
      </c>
      <c r="J5" s="8" t="s">
        <v>3</v>
      </c>
      <c r="K5" s="1">
        <f>IFERROR(
( COUNTIF(D5:J5,"S") + 0.5*COUNTIF(D5:J5,"C") )
/
( COUNTIF(D5:J5,"S") + COUNTIF(D5:J5,"C") + COUNTIF(D5:J5,"N") )
*100,0)</f>
        <v>100</v>
      </c>
      <c r="L5" s="1">
        <f>COUNTIF(D5:J5,"S")</f>
        <v>3</v>
      </c>
      <c r="M5" s="1">
        <f>COUNTIF(D5:J5,"C")</f>
        <v>0</v>
      </c>
      <c r="N5" s="1">
        <f>COUNTIF(D5:J5,"N")</f>
        <v>0</v>
      </c>
    </row>
    <row r="6" spans="1:23" ht="78.75" x14ac:dyDescent="0.25">
      <c r="A6" s="16"/>
      <c r="B6" s="15" t="s">
        <v>177</v>
      </c>
      <c r="C6" s="9" t="s">
        <v>176</v>
      </c>
      <c r="D6" s="8" t="s">
        <v>1</v>
      </c>
      <c r="E6" s="8" t="s">
        <v>2</v>
      </c>
      <c r="F6" s="8" t="s">
        <v>3</v>
      </c>
      <c r="G6" s="8" t="s">
        <v>2</v>
      </c>
      <c r="H6" s="8" t="s">
        <v>2</v>
      </c>
      <c r="I6" s="8" t="s">
        <v>4</v>
      </c>
      <c r="J6" s="8" t="s">
        <v>2</v>
      </c>
      <c r="K6" s="1">
        <f>IFERROR(
( COUNTIF(D6:J6,"S") + 0.5*COUNTIF(D6:J6,"C") )
/
( COUNTIF(D6:J6,"S") + COUNTIF(D6:J6,"C") + COUNTIF(D6:J6,"N") )
*100,0)</f>
        <v>25</v>
      </c>
      <c r="L6" s="1">
        <f>COUNTIF(D6:J6,"S")</f>
        <v>1</v>
      </c>
      <c r="M6" s="1">
        <f>COUNTIF(D6:J6,"C")</f>
        <v>1</v>
      </c>
      <c r="N6" s="1">
        <f>COUNTIF(D6:J6,"N")</f>
        <v>4</v>
      </c>
      <c r="O6" s="3"/>
    </row>
    <row r="7" spans="1:23" ht="78.75" x14ac:dyDescent="0.25">
      <c r="A7" s="16"/>
      <c r="B7" s="15" t="s">
        <v>175</v>
      </c>
      <c r="C7" s="15" t="s">
        <v>174</v>
      </c>
      <c r="D7" s="8" t="s">
        <v>1</v>
      </c>
      <c r="E7" s="8" t="s">
        <v>2</v>
      </c>
      <c r="F7" s="8" t="s">
        <v>3</v>
      </c>
      <c r="G7" s="8" t="s">
        <v>1</v>
      </c>
      <c r="H7" s="8" t="s">
        <v>1</v>
      </c>
      <c r="I7" s="8" t="s">
        <v>1</v>
      </c>
      <c r="J7" s="8" t="s">
        <v>3</v>
      </c>
      <c r="K7" s="1">
        <f>IFERROR(
( COUNTIF(D7:J7,"S") + 0.5*COUNTIF(D7:J7,"C") )
/
( COUNTIF(D7:J7,"S") + COUNTIF(D7:J7,"C") + COUNTIF(D7:J7,"N") )
*100,0)</f>
        <v>80</v>
      </c>
      <c r="L7" s="1">
        <f>COUNTIF(D7:J7,"S")</f>
        <v>4</v>
      </c>
      <c r="M7" s="1">
        <f>COUNTIF(D7:J7,"C")</f>
        <v>0</v>
      </c>
      <c r="N7" s="1">
        <f>COUNTIF(D7:J7,"N")</f>
        <v>1</v>
      </c>
    </row>
    <row r="8" spans="1:23" ht="63" x14ac:dyDescent="0.25">
      <c r="A8" s="16"/>
      <c r="B8" s="15" t="s">
        <v>173</v>
      </c>
      <c r="C8" s="9" t="s">
        <v>172</v>
      </c>
      <c r="D8" s="8" t="s">
        <v>1</v>
      </c>
      <c r="E8" s="8" t="s">
        <v>2</v>
      </c>
      <c r="F8" s="8" t="s">
        <v>3</v>
      </c>
      <c r="G8" s="8" t="s">
        <v>2</v>
      </c>
      <c r="H8" s="8" t="s">
        <v>1</v>
      </c>
      <c r="I8" s="8" t="s">
        <v>1</v>
      </c>
      <c r="J8" s="8" t="s">
        <v>2</v>
      </c>
      <c r="K8" s="1">
        <f>IFERROR(
( COUNTIF(D8:J8,"S") + 0.5*COUNTIF(D8:J8,"C") )
/
( COUNTIF(D8:J8,"S") + COUNTIF(D8:J8,"C") + COUNTIF(D8:J8,"N") )
*100,0)</f>
        <v>50</v>
      </c>
      <c r="L8" s="1">
        <f>COUNTIF(D8:J8,"S")</f>
        <v>3</v>
      </c>
      <c r="M8" s="1">
        <f>COUNTIF(D8:J8,"C")</f>
        <v>0</v>
      </c>
      <c r="N8" s="1">
        <f>COUNTIF(D8:J8,"N")</f>
        <v>3</v>
      </c>
    </row>
    <row r="9" spans="1:23" ht="63" x14ac:dyDescent="0.25">
      <c r="A9" s="16"/>
      <c r="B9" s="15" t="s">
        <v>171</v>
      </c>
      <c r="C9" s="15" t="s">
        <v>170</v>
      </c>
      <c r="D9" s="8" t="s">
        <v>1</v>
      </c>
      <c r="E9" s="8" t="s">
        <v>2</v>
      </c>
      <c r="F9" s="8" t="s">
        <v>3</v>
      </c>
      <c r="G9" s="8" t="s">
        <v>2</v>
      </c>
      <c r="H9" s="8" t="s">
        <v>4</v>
      </c>
      <c r="I9" s="8" t="s">
        <v>1</v>
      </c>
      <c r="J9" s="8" t="s">
        <v>2</v>
      </c>
      <c r="K9" s="1">
        <f>IFERROR(
( COUNTIF(D9:J9,"S") + 0.5*COUNTIF(D9:J9,"C") )
/
( COUNTIF(D9:J9,"S") + COUNTIF(D9:J9,"C") + COUNTIF(D9:J9,"N") )
*100,0)</f>
        <v>41.666666666666671</v>
      </c>
      <c r="L9" s="1">
        <f>COUNTIF(D9:J9,"S")</f>
        <v>2</v>
      </c>
      <c r="M9" s="1">
        <f>COUNTIF(D9:J9,"C")</f>
        <v>1</v>
      </c>
      <c r="N9" s="1">
        <f>COUNTIF(D9:J9,"N")</f>
        <v>3</v>
      </c>
    </row>
    <row r="10" spans="1:23" ht="47.25" x14ac:dyDescent="0.25">
      <c r="A10" s="16"/>
      <c r="B10" s="15" t="s">
        <v>156</v>
      </c>
      <c r="C10" s="9" t="s">
        <v>155</v>
      </c>
      <c r="D10" s="8" t="s">
        <v>1</v>
      </c>
      <c r="E10" s="8" t="s">
        <v>2</v>
      </c>
      <c r="F10" s="8" t="s">
        <v>1</v>
      </c>
      <c r="G10" s="8" t="s">
        <v>1</v>
      </c>
      <c r="H10" s="8" t="s">
        <v>1</v>
      </c>
      <c r="I10" s="8" t="s">
        <v>1</v>
      </c>
      <c r="J10" s="8" t="s">
        <v>4</v>
      </c>
      <c r="K10" s="1">
        <f>IFERROR(
( COUNTIF(D10:J10,"S") + 0.5*COUNTIF(D10:J10,"C") )
/
( COUNTIF(D10:J10,"S") + COUNTIF(D10:J10,"C") + COUNTIF(D10:J10,"N") )
*100,0)</f>
        <v>78.571428571428569</v>
      </c>
      <c r="L10" s="1">
        <f>COUNTIF(D10:J10,"S")</f>
        <v>5</v>
      </c>
      <c r="M10" s="1">
        <f>COUNTIF(D10:J10,"C")</f>
        <v>1</v>
      </c>
      <c r="N10" s="1">
        <f>COUNTIF(D10:J10,"N")</f>
        <v>1</v>
      </c>
    </row>
    <row r="11" spans="1:23" ht="78.75" x14ac:dyDescent="0.25">
      <c r="A11" s="16"/>
      <c r="B11" s="15" t="s">
        <v>169</v>
      </c>
      <c r="C11" s="15" t="s">
        <v>168</v>
      </c>
      <c r="D11" s="8" t="s">
        <v>1</v>
      </c>
      <c r="E11" s="8" t="s">
        <v>2</v>
      </c>
      <c r="F11" s="8" t="s">
        <v>3</v>
      </c>
      <c r="G11" s="8" t="s">
        <v>1</v>
      </c>
      <c r="H11" s="8" t="s">
        <v>1</v>
      </c>
      <c r="I11" s="8" t="s">
        <v>1</v>
      </c>
      <c r="J11" s="8" t="s">
        <v>3</v>
      </c>
      <c r="K11" s="1">
        <f>IFERROR(
( COUNTIF(D11:J11,"S") + 0.5*COUNTIF(D11:J11,"C") )
/
( COUNTIF(D11:J11,"S") + COUNTIF(D11:J11,"C") + COUNTIF(D11:J11,"N") )
*100,0)</f>
        <v>80</v>
      </c>
      <c r="L11" s="1">
        <f>COUNTIF(D11:J11,"S")</f>
        <v>4</v>
      </c>
      <c r="M11" s="1">
        <f>COUNTIF(D11:J11,"C")</f>
        <v>0</v>
      </c>
      <c r="N11" s="1">
        <f>COUNTIF(D11:J11,"N")</f>
        <v>1</v>
      </c>
    </row>
    <row r="12" spans="1:23" ht="63" x14ac:dyDescent="0.25">
      <c r="A12" s="16"/>
      <c r="B12" s="15" t="s">
        <v>167</v>
      </c>
      <c r="C12" s="15" t="s">
        <v>166</v>
      </c>
      <c r="D12" s="8" t="s">
        <v>1</v>
      </c>
      <c r="E12" s="8" t="s">
        <v>2</v>
      </c>
      <c r="F12" s="8" t="s">
        <v>3</v>
      </c>
      <c r="G12" s="8" t="s">
        <v>2</v>
      </c>
      <c r="H12" s="8" t="s">
        <v>2</v>
      </c>
      <c r="I12" s="8" t="s">
        <v>4</v>
      </c>
      <c r="J12" s="8" t="s">
        <v>2</v>
      </c>
      <c r="K12" s="1">
        <f>IFERROR(
( COUNTIF(D12:J12,"S") + 0.5*COUNTIF(D12:J12,"C") )
/
( COUNTIF(D12:J12,"S") + COUNTIF(D12:J12,"C") + COUNTIF(D12:J12,"N") )
*100,0)</f>
        <v>25</v>
      </c>
      <c r="L12" s="1">
        <f>COUNTIF(D12:J12,"S")</f>
        <v>1</v>
      </c>
      <c r="M12" s="1">
        <f>COUNTIF(D12:J12,"C")</f>
        <v>1</v>
      </c>
      <c r="N12" s="1">
        <f>COUNTIF(D12:J12,"N")</f>
        <v>4</v>
      </c>
      <c r="P12" s="1" t="str">
        <f>_xlfn.LET(
_xlpm.col,D2:D12,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12" s="1" t="str">
        <f>_xlfn.LET(
_xlpm.col,E2:E12,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R12" s="1" t="str">
        <f>_xlfn.LET(
_xlpm.col,F2:F12,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12" s="1" t="str">
        <f>_xlfn.LET(
_xlpm.col,G2:G12,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T12" s="1" t="str">
        <f>_xlfn.LET(
_xlpm.col,H2:H12,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12" s="1" t="str">
        <f>_xlfn.LET(
_xlpm.col,I2:I12,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12" s="1" t="str">
        <f>_xlfn.LET(
_xlpm.col,J2:J12,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12" s="2">
        <f>IFERROR(
( COUNTIF(D2:J12,"S") + 0.5*COUNTIF(D2:J12,"C") )
/
( COUNTIF(D2:J12,"S") + COUNTIF(D2:J12,"C") + COUNTIF(D2:J12,"N") )
*100,0)</f>
        <v>50.806451612903224</v>
      </c>
    </row>
    <row r="13" spans="1:23" ht="15.75" x14ac:dyDescent="0.25">
      <c r="A13" s="3"/>
      <c r="B13" s="3"/>
      <c r="C13" s="9"/>
      <c r="D13" s="3"/>
      <c r="E13" s="3"/>
      <c r="F13" s="3"/>
      <c r="G13" s="3"/>
      <c r="H13" s="3"/>
      <c r="I13" s="3"/>
      <c r="J13" s="3"/>
      <c r="M13" s="1">
        <f>COUNTIF(D13:J13,"C")</f>
        <v>0</v>
      </c>
      <c r="N13" s="1">
        <f>COUNTIF(D13:J13,"N")</f>
        <v>0</v>
      </c>
    </row>
    <row r="14" spans="1:23" ht="63" x14ac:dyDescent="0.25">
      <c r="A14" s="16" t="s">
        <v>165</v>
      </c>
      <c r="B14" s="15" t="s">
        <v>164</v>
      </c>
      <c r="C14" s="15" t="s">
        <v>163</v>
      </c>
      <c r="D14" s="8" t="s">
        <v>1</v>
      </c>
      <c r="E14" s="8" t="s">
        <v>4</v>
      </c>
      <c r="F14" s="8" t="s">
        <v>3</v>
      </c>
      <c r="G14" s="8" t="s">
        <v>1</v>
      </c>
      <c r="H14" s="8" t="s">
        <v>4</v>
      </c>
      <c r="I14" s="8" t="s">
        <v>1</v>
      </c>
      <c r="J14" s="8" t="s">
        <v>2</v>
      </c>
      <c r="K14" s="1">
        <f>IFERROR(
( COUNTIF(D14:J14,"S") + 0.5*COUNTIF(D14:J14,"C") )
/
( COUNTIF(D14:J14,"S") + COUNTIF(D14:J14,"C") + COUNTIF(D14:J14,"N") )
*100,0)</f>
        <v>66.666666666666657</v>
      </c>
      <c r="L14" s="1">
        <f>COUNTIF(D14:J14,"S")</f>
        <v>3</v>
      </c>
      <c r="M14" s="1">
        <f>COUNTIF(D14:J14,"C")</f>
        <v>2</v>
      </c>
      <c r="N14" s="1">
        <f>COUNTIF(D14:J14,"N")</f>
        <v>1</v>
      </c>
    </row>
    <row r="15" spans="1:23" ht="63" x14ac:dyDescent="0.25">
      <c r="A15" s="16"/>
      <c r="B15" s="15" t="s">
        <v>162</v>
      </c>
      <c r="C15" s="9" t="s">
        <v>161</v>
      </c>
      <c r="D15" s="8" t="s">
        <v>1</v>
      </c>
      <c r="E15" s="8" t="s">
        <v>4</v>
      </c>
      <c r="F15" s="8" t="s">
        <v>1</v>
      </c>
      <c r="G15" s="8" t="s">
        <v>1</v>
      </c>
      <c r="H15" s="8" t="s">
        <v>2</v>
      </c>
      <c r="I15" s="8" t="s">
        <v>1</v>
      </c>
      <c r="J15" s="8" t="s">
        <v>2</v>
      </c>
      <c r="K15" s="1">
        <f>IFERROR(
( COUNTIF(D15:J15,"S") + 0.5*COUNTIF(D15:J15,"C") )
/
( COUNTIF(D15:J15,"S") + COUNTIF(D15:J15,"C") + COUNTIF(D15:J15,"N") )
*100,0)</f>
        <v>64.285714285714292</v>
      </c>
      <c r="L15" s="1">
        <f>COUNTIF(D15:J15,"S")</f>
        <v>4</v>
      </c>
      <c r="M15" s="1">
        <f>COUNTIF(D15:J15,"C")</f>
        <v>1</v>
      </c>
      <c r="N15" s="1">
        <f>COUNTIF(D15:J15,"N")</f>
        <v>2</v>
      </c>
    </row>
    <row r="16" spans="1:23" ht="63" x14ac:dyDescent="0.25">
      <c r="A16" s="16"/>
      <c r="B16" s="15" t="s">
        <v>160</v>
      </c>
      <c r="C16" s="15" t="s">
        <v>159</v>
      </c>
      <c r="D16" s="8" t="s">
        <v>1</v>
      </c>
      <c r="E16" s="8" t="s">
        <v>4</v>
      </c>
      <c r="F16" s="8" t="s">
        <v>1</v>
      </c>
      <c r="G16" s="8" t="s">
        <v>1</v>
      </c>
      <c r="H16" s="8" t="s">
        <v>2</v>
      </c>
      <c r="I16" s="8" t="s">
        <v>2</v>
      </c>
      <c r="J16" s="8" t="s">
        <v>2</v>
      </c>
      <c r="K16" s="1">
        <f>IFERROR(
( COUNTIF(D16:J16,"S") + 0.5*COUNTIF(D16:J16,"C") )
/
( COUNTIF(D16:J16,"S") + COUNTIF(D16:J16,"C") + COUNTIF(D16:J16,"N") )
*100,0)</f>
        <v>50</v>
      </c>
      <c r="L16" s="1">
        <f>COUNTIF(D16:J16,"S")</f>
        <v>3</v>
      </c>
      <c r="M16" s="1">
        <f>COUNTIF(D16:J16,"C")</f>
        <v>1</v>
      </c>
      <c r="N16" s="1">
        <f>COUNTIF(D16:J16,"N")</f>
        <v>3</v>
      </c>
    </row>
    <row r="17" spans="1:23" ht="63" x14ac:dyDescent="0.25">
      <c r="A17" s="16"/>
      <c r="B17" s="15" t="s">
        <v>158</v>
      </c>
      <c r="C17" s="15" t="s">
        <v>157</v>
      </c>
      <c r="D17" s="8" t="s">
        <v>1</v>
      </c>
      <c r="E17" s="8" t="s">
        <v>4</v>
      </c>
      <c r="F17" s="8" t="s">
        <v>3</v>
      </c>
      <c r="G17" s="8" t="s">
        <v>2</v>
      </c>
      <c r="H17" s="8" t="s">
        <v>2</v>
      </c>
      <c r="I17" s="8" t="s">
        <v>2</v>
      </c>
      <c r="J17" s="8" t="s">
        <v>2</v>
      </c>
      <c r="K17" s="1">
        <f>IFERROR(
( COUNTIF(D17:J17,"S") + 0.5*COUNTIF(D17:J17,"C") )
/
( COUNTIF(D17:J17,"S") + COUNTIF(D17:J17,"C") + COUNTIF(D17:J17,"N") )
*100,0)</f>
        <v>25</v>
      </c>
      <c r="L17" s="1">
        <f>COUNTIF(D17:J17,"S")</f>
        <v>1</v>
      </c>
      <c r="M17" s="1">
        <f>COUNTIF(D17:J17,"C")</f>
        <v>1</v>
      </c>
      <c r="N17" s="1">
        <f>COUNTIF(D17:J17,"N")</f>
        <v>4</v>
      </c>
    </row>
    <row r="18" spans="1:23" ht="47.25" x14ac:dyDescent="0.25">
      <c r="A18" s="16"/>
      <c r="B18" s="15" t="s">
        <v>156</v>
      </c>
      <c r="C18" s="9" t="s">
        <v>155</v>
      </c>
      <c r="D18" s="8" t="s">
        <v>1</v>
      </c>
      <c r="E18" s="8" t="s">
        <v>2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4</v>
      </c>
      <c r="K18" s="1">
        <f>IFERROR(
( COUNTIF(D18:J18,"S") + 0.5*COUNTIF(D18:J18,"C") )
/
( COUNTIF(D18:J18,"S") + COUNTIF(D18:J18,"C") + COUNTIF(D18:J18,"N") )
*100,0)</f>
        <v>78.571428571428569</v>
      </c>
      <c r="L18" s="1">
        <f>COUNTIF(D18:J18,"S")</f>
        <v>5</v>
      </c>
      <c r="M18" s="1">
        <f>COUNTIF(D18:J18,"C")</f>
        <v>1</v>
      </c>
      <c r="N18" s="1">
        <f>COUNTIF(D18:J18,"N")</f>
        <v>1</v>
      </c>
    </row>
    <row r="19" spans="1:23" ht="63" x14ac:dyDescent="0.25">
      <c r="A19" s="16"/>
      <c r="B19" s="15" t="s">
        <v>154</v>
      </c>
      <c r="C19" s="9" t="s">
        <v>153</v>
      </c>
      <c r="D19" s="8" t="s">
        <v>1</v>
      </c>
      <c r="E19" s="8" t="s">
        <v>2</v>
      </c>
      <c r="F19" s="8" t="s">
        <v>1</v>
      </c>
      <c r="G19" s="8" t="s">
        <v>2</v>
      </c>
      <c r="H19" s="8" t="s">
        <v>2</v>
      </c>
      <c r="I19" s="8" t="s">
        <v>2</v>
      </c>
      <c r="J19" s="8" t="s">
        <v>2</v>
      </c>
      <c r="K19" s="1">
        <f>IFERROR(
( COUNTIF(D19:J19,"S") + 0.5*COUNTIF(D19:J19,"C") )
/
( COUNTIF(D19:J19,"S") + COUNTIF(D19:J19,"C") + COUNTIF(D19:J19,"N") )
*100,0)</f>
        <v>28.571428571428569</v>
      </c>
      <c r="L19" s="1">
        <f>COUNTIF(D19:J19,"S")</f>
        <v>2</v>
      </c>
      <c r="M19" s="1">
        <f>COUNTIF(D19:J19,"C")</f>
        <v>0</v>
      </c>
      <c r="N19" s="1">
        <f>COUNTIF(D19:J19,"N")</f>
        <v>5</v>
      </c>
    </row>
    <row r="20" spans="1:23" ht="63" x14ac:dyDescent="0.25">
      <c r="A20" s="16"/>
      <c r="B20" s="15" t="s">
        <v>152</v>
      </c>
      <c r="C20" s="15" t="s">
        <v>151</v>
      </c>
      <c r="D20" s="8" t="s">
        <v>1</v>
      </c>
      <c r="E20" s="8" t="s">
        <v>4</v>
      </c>
      <c r="F20" s="8" t="s">
        <v>1</v>
      </c>
      <c r="G20" s="8" t="s">
        <v>2</v>
      </c>
      <c r="H20" s="8" t="s">
        <v>4</v>
      </c>
      <c r="I20" s="8" t="s">
        <v>4</v>
      </c>
      <c r="J20" s="8" t="s">
        <v>2</v>
      </c>
      <c r="K20" s="1">
        <f>IFERROR(
( COUNTIF(D20:J20,"S") + 0.5*COUNTIF(D20:J20,"C") )
/
( COUNTIF(D20:J20,"S") + COUNTIF(D20:J20,"C") + COUNTIF(D20:J20,"N") )
*100,0)</f>
        <v>50</v>
      </c>
      <c r="L20" s="1">
        <f>COUNTIF(D20:J20,"S")</f>
        <v>2</v>
      </c>
      <c r="M20" s="1">
        <f>COUNTIF(D20:J20,"C")</f>
        <v>3</v>
      </c>
      <c r="N20" s="1">
        <f>COUNTIF(D20:J20,"N")</f>
        <v>2</v>
      </c>
    </row>
    <row r="21" spans="1:23" ht="78.75" x14ac:dyDescent="0.25">
      <c r="A21" s="16"/>
      <c r="B21" s="15" t="s">
        <v>150</v>
      </c>
      <c r="C21" s="9" t="s">
        <v>149</v>
      </c>
      <c r="D21" s="8" t="s">
        <v>1</v>
      </c>
      <c r="E21" s="8" t="s">
        <v>1</v>
      </c>
      <c r="F21" s="8" t="s">
        <v>1</v>
      </c>
      <c r="G21" s="8" t="s">
        <v>1</v>
      </c>
      <c r="H21" s="8" t="s">
        <v>4</v>
      </c>
      <c r="I21" s="8" t="s">
        <v>1</v>
      </c>
      <c r="J21" s="8" t="s">
        <v>4</v>
      </c>
      <c r="K21" s="1">
        <f>IFERROR(
( COUNTIF(D21:J21,"S") + 0.5*COUNTIF(D21:J21,"C") )
/
( COUNTIF(D21:J21,"S") + COUNTIF(D21:J21,"C") + COUNTIF(D21:J21,"N") )
*100,0)</f>
        <v>85.714285714285708</v>
      </c>
      <c r="L21" s="1">
        <f>COUNTIF(D21:J21,"S")</f>
        <v>5</v>
      </c>
      <c r="M21" s="1">
        <f>COUNTIF(D21:J21,"C")</f>
        <v>2</v>
      </c>
      <c r="N21" s="1">
        <f>COUNTIF(D21:J21,"N")</f>
        <v>0</v>
      </c>
      <c r="P21" s="1" t="str">
        <f>_xlfn.LET(
_xlpm.col,D14:D21,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21" s="1" t="str">
        <f>_xlfn.LET(
_xlpm.col,E14:E21,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R21" s="1" t="str">
        <f>_xlfn.LET(
_xlpm.col,F14:F21,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21" s="1" t="str">
        <f>_xlfn.LET(
_xlpm.col,G14:G21,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21" s="1" t="str">
        <f>_xlfn.LET(
_xlpm.col,H14:H21,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U21" s="1" t="str">
        <f>_xlfn.LET(
_xlpm.col,I14:I21,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21" s="1" t="str">
        <f>_xlfn.LET(
_xlpm.col,J14:J21,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21" s="2">
        <f>IFERROR(
( COUNTIF(D14:J21,"S") + 0.5*COUNTIF(D14:J21,"C") )
/
( COUNTIF(D14:J21,"S") + COUNTIF(D14:J21,"C") + COUNTIF(D14:J21,"N") )
*100,0)</f>
        <v>56.481481481481474</v>
      </c>
    </row>
    <row r="22" spans="1:23" ht="15.75" x14ac:dyDescent="0.25">
      <c r="A22" s="16" t="s">
        <v>148</v>
      </c>
      <c r="B22" s="3"/>
      <c r="C22" s="9"/>
      <c r="D22" s="3"/>
      <c r="E22" s="3"/>
      <c r="F22" s="3"/>
      <c r="G22" s="3"/>
      <c r="H22" s="3"/>
      <c r="I22" s="3"/>
      <c r="J22" s="3"/>
      <c r="K22" s="1">
        <f>IFERROR(
( COUNTIF(D22:J22,"S") + 0.5*COUNTIF(D22:J22,"C") )
/
( COUNTIF(D22:J22,"S") + COUNTIF(D22:J22,"C") + COUNTIF(D22:J22,"N") )
*100,0)</f>
        <v>0</v>
      </c>
      <c r="L22" s="1">
        <f>COUNTIF(D22:J22,"S")</f>
        <v>0</v>
      </c>
      <c r="M22" s="1">
        <f>COUNTIF(D22:J22,"C")</f>
        <v>0</v>
      </c>
      <c r="N22" s="1">
        <f>COUNTIF(D22:J22,"N")</f>
        <v>0</v>
      </c>
    </row>
    <row r="23" spans="1:23" ht="63" x14ac:dyDescent="0.25">
      <c r="A23" s="16"/>
      <c r="B23" s="15" t="s">
        <v>147</v>
      </c>
      <c r="C23" s="15" t="s">
        <v>146</v>
      </c>
      <c r="D23" s="8" t="s">
        <v>1</v>
      </c>
      <c r="E23" s="8" t="s">
        <v>2</v>
      </c>
      <c r="F23" s="8" t="s">
        <v>3</v>
      </c>
      <c r="G23" s="8" t="s">
        <v>2</v>
      </c>
      <c r="H23" s="8" t="s">
        <v>1</v>
      </c>
      <c r="I23" s="8" t="s">
        <v>1</v>
      </c>
      <c r="J23" s="8" t="s">
        <v>2</v>
      </c>
      <c r="K23" s="1">
        <f>IFERROR(
( COUNTIF(D23:J23,"S") + 0.5*COUNTIF(D23:J23,"C") )
/
( COUNTIF(D23:J23,"S") + COUNTIF(D23:J23,"C") + COUNTIF(D23:J23,"N") )
*100,0)</f>
        <v>50</v>
      </c>
      <c r="L23" s="1">
        <f>COUNTIF(D23:J23,"S")</f>
        <v>3</v>
      </c>
      <c r="M23" s="1">
        <f>COUNTIF(D23:J23,"C")</f>
        <v>0</v>
      </c>
      <c r="N23" s="1">
        <f>COUNTIF(D23:J23,"N")</f>
        <v>3</v>
      </c>
    </row>
    <row r="24" spans="1:23" ht="78.75" x14ac:dyDescent="0.25">
      <c r="A24" s="16"/>
      <c r="B24" s="15" t="s">
        <v>145</v>
      </c>
      <c r="C24" s="9" t="s">
        <v>144</v>
      </c>
      <c r="D24" s="8" t="s">
        <v>1</v>
      </c>
      <c r="E24" s="8" t="s">
        <v>2</v>
      </c>
      <c r="F24" s="8" t="s">
        <v>3</v>
      </c>
      <c r="G24" s="8" t="s">
        <v>2</v>
      </c>
      <c r="H24" s="8" t="s">
        <v>2</v>
      </c>
      <c r="I24" s="8" t="s">
        <v>2</v>
      </c>
      <c r="J24" s="8" t="s">
        <v>2</v>
      </c>
      <c r="K24" s="1">
        <f>IFERROR(
( COUNTIF(D24:J24,"S") + 0.5*COUNTIF(D24:J24,"C") )
/
( COUNTIF(D24:J24,"S") + COUNTIF(D24:J24,"C") + COUNTIF(D24:J24,"N") )
*100,0)</f>
        <v>16.666666666666664</v>
      </c>
      <c r="L24" s="1">
        <f>COUNTIF(D24:J24,"S")</f>
        <v>1</v>
      </c>
      <c r="M24" s="1">
        <f>COUNTIF(D24:J24,"C")</f>
        <v>0</v>
      </c>
      <c r="N24" s="1">
        <f>COUNTIF(D24:J24,"N")</f>
        <v>5</v>
      </c>
    </row>
    <row r="25" spans="1:23" ht="78.75" x14ac:dyDescent="0.25">
      <c r="A25" s="16"/>
      <c r="B25" s="15" t="s">
        <v>143</v>
      </c>
      <c r="C25" s="9" t="s">
        <v>142</v>
      </c>
      <c r="D25" s="8" t="s">
        <v>1</v>
      </c>
      <c r="E25" s="8" t="s">
        <v>2</v>
      </c>
      <c r="F25" s="8" t="s">
        <v>3</v>
      </c>
      <c r="G25" s="8" t="s">
        <v>2</v>
      </c>
      <c r="H25" s="8" t="s">
        <v>1</v>
      </c>
      <c r="I25" s="8" t="s">
        <v>1</v>
      </c>
      <c r="J25" s="8" t="s">
        <v>4</v>
      </c>
      <c r="K25" s="1">
        <f>IFERROR(
( COUNTIF(D25:J25,"S") + 0.5*COUNTIF(D25:J25,"C") )
/
( COUNTIF(D25:J25,"S") + COUNTIF(D25:J25,"C") + COUNTIF(D25:J25,"N") )
*100,0)</f>
        <v>58.333333333333336</v>
      </c>
      <c r="L25" s="1">
        <f>COUNTIF(D25:J25,"S")</f>
        <v>3</v>
      </c>
      <c r="M25" s="1">
        <f>COUNTIF(D25:J25,"C")</f>
        <v>1</v>
      </c>
      <c r="N25" s="1">
        <f>COUNTIF(D25:J25,"N")</f>
        <v>2</v>
      </c>
      <c r="P25" s="1" t="str">
        <f>_xlfn.LET(
_xlpm.col,D23:D25,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25" s="1" t="str">
        <f>_xlfn.LET(
_xlpm.col,E23:E25,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R25" s="1" t="str">
        <f>_xlfn.LET(
_xlpm.col,F23:F25,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25" s="1" t="str">
        <f>_xlfn.LET(
_xlpm.col,G23:G25,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T25" s="1" t="str">
        <f>_xlfn.LET(
_xlpm.col,H23:H25,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25" s="1" t="str">
        <f>_xlfn.LET(
_xlpm.col,I23:I25,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25" s="1" t="str">
        <f>_xlfn.LET(
_xlpm.col,J23:J25,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25" s="2">
        <f>IFERROR(
( COUNTIF(D23:J25,"S") + 0.5*COUNTIF(D23:J25,"C") )
/
( COUNTIF(D23:J25,"S") + COUNTIF(D23:J25,"C") + COUNTIF(D23:J25,"N") )
*100,0)</f>
        <v>41.666666666666671</v>
      </c>
    </row>
    <row r="26" spans="1:23" ht="63" x14ac:dyDescent="0.25">
      <c r="A26" s="16" t="s">
        <v>141</v>
      </c>
      <c r="B26" s="15" t="s">
        <v>140</v>
      </c>
      <c r="C26" s="15" t="s">
        <v>139</v>
      </c>
      <c r="D26" s="8" t="s">
        <v>1</v>
      </c>
      <c r="E26" s="8" t="s">
        <v>1</v>
      </c>
      <c r="F26" s="8" t="s">
        <v>3</v>
      </c>
      <c r="G26" s="8" t="s">
        <v>1</v>
      </c>
      <c r="H26" s="8" t="s">
        <v>4</v>
      </c>
      <c r="I26" s="8" t="s">
        <v>4</v>
      </c>
      <c r="J26" s="8" t="s">
        <v>2</v>
      </c>
      <c r="K26" s="1">
        <f>IFERROR(
( COUNTIF(D26:J26,"S") + 0.5*COUNTIF(D26:J26,"C") )
/
( COUNTIF(D26:J26,"S") + COUNTIF(D26:J26,"C") + COUNTIF(D26:J26,"N") )
*100,0)</f>
        <v>66.666666666666657</v>
      </c>
      <c r="L26" s="1">
        <f>COUNTIF(D26:J26,"S")</f>
        <v>3</v>
      </c>
      <c r="M26" s="1">
        <f>COUNTIF(D26:J26,"C")</f>
        <v>2</v>
      </c>
      <c r="N26" s="1">
        <f>COUNTIF(D26:J26,"N")</f>
        <v>1</v>
      </c>
    </row>
    <row r="27" spans="1:23" ht="63" x14ac:dyDescent="0.25">
      <c r="A27" s="16"/>
      <c r="B27" s="9" t="s">
        <v>138</v>
      </c>
      <c r="C27" s="9" t="s">
        <v>137</v>
      </c>
      <c r="D27" s="8" t="s">
        <v>1</v>
      </c>
      <c r="E27" s="8" t="s">
        <v>1</v>
      </c>
      <c r="F27" s="8" t="s">
        <v>1</v>
      </c>
      <c r="G27" s="8" t="s">
        <v>1</v>
      </c>
      <c r="H27" s="8" t="s">
        <v>2</v>
      </c>
      <c r="I27" s="8" t="s">
        <v>1</v>
      </c>
      <c r="J27" s="8" t="s">
        <v>2</v>
      </c>
      <c r="K27" s="1">
        <f>IFERROR(
( COUNTIF(D27:J27,"S") + 0.5*COUNTIF(D27:J27,"C") )
/
( COUNTIF(D27:J27,"S") + COUNTIF(D27:J27,"C") + COUNTIF(D27:J27,"N") )
*100,0)</f>
        <v>71.428571428571431</v>
      </c>
      <c r="L27" s="1">
        <f>COUNTIF(D27:J27,"S")</f>
        <v>5</v>
      </c>
      <c r="M27" s="1">
        <f>COUNTIF(D27:J27,"C")</f>
        <v>0</v>
      </c>
      <c r="N27" s="1">
        <f>COUNTIF(D27:J27,"N")</f>
        <v>2</v>
      </c>
    </row>
    <row r="28" spans="1:23" ht="63" x14ac:dyDescent="0.25">
      <c r="A28" s="16"/>
      <c r="B28" s="15" t="s">
        <v>136</v>
      </c>
      <c r="C28" s="15" t="s">
        <v>135</v>
      </c>
      <c r="D28" s="8" t="s">
        <v>1</v>
      </c>
      <c r="E28" s="8" t="s">
        <v>1</v>
      </c>
      <c r="F28" s="8" t="s">
        <v>1</v>
      </c>
      <c r="G28" s="8" t="s">
        <v>1</v>
      </c>
      <c r="H28" s="8" t="s">
        <v>4</v>
      </c>
      <c r="I28" s="8" t="s">
        <v>1</v>
      </c>
      <c r="J28" s="8" t="s">
        <v>2</v>
      </c>
      <c r="K28" s="1">
        <f>IFERROR(
( COUNTIF(D28:J28,"S") + 0.5*COUNTIF(D28:J28,"C") )
/
( COUNTIF(D28:J28,"S") + COUNTIF(D28:J28,"C") + COUNTIF(D28:J28,"N") )
*100,0)</f>
        <v>78.571428571428569</v>
      </c>
      <c r="L28" s="1">
        <f>COUNTIF(D28:J28,"S")</f>
        <v>5</v>
      </c>
      <c r="M28" s="1">
        <f>COUNTIF(D28:J28,"C")</f>
        <v>1</v>
      </c>
      <c r="N28" s="1">
        <f>COUNTIF(D28:J28,"N")</f>
        <v>1</v>
      </c>
    </row>
    <row r="29" spans="1:23" ht="63" x14ac:dyDescent="0.25">
      <c r="A29" s="16"/>
      <c r="B29" s="15" t="s">
        <v>134</v>
      </c>
      <c r="C29" s="9" t="s">
        <v>133</v>
      </c>
      <c r="D29" s="8" t="s">
        <v>1</v>
      </c>
      <c r="E29" s="8" t="s">
        <v>1</v>
      </c>
      <c r="F29" s="8" t="s">
        <v>1</v>
      </c>
      <c r="G29" s="8" t="s">
        <v>1</v>
      </c>
      <c r="H29" s="8" t="s">
        <v>2</v>
      </c>
      <c r="I29" s="8" t="s">
        <v>1</v>
      </c>
      <c r="J29" s="8" t="s">
        <v>2</v>
      </c>
      <c r="K29" s="1">
        <f>IFERROR(
( COUNTIF(D29:J29,"S") + 0.5*COUNTIF(D29:J29,"C") )
/
( COUNTIF(D29:J29,"S") + COUNTIF(D29:J29,"C") + COUNTIF(D29:J29,"N") )
*100,0)</f>
        <v>71.428571428571431</v>
      </c>
      <c r="L29" s="1">
        <f>COUNTIF(D29:J29,"S")</f>
        <v>5</v>
      </c>
      <c r="M29" s="1">
        <f>COUNTIF(D29:J29,"C")</f>
        <v>0</v>
      </c>
      <c r="N29" s="1">
        <f>COUNTIF(D29:J29,"N")</f>
        <v>2</v>
      </c>
    </row>
    <row r="30" spans="1:23" ht="47.25" x14ac:dyDescent="0.25">
      <c r="A30" s="16"/>
      <c r="B30" s="15" t="s">
        <v>132</v>
      </c>
      <c r="C30" s="15" t="s">
        <v>131</v>
      </c>
      <c r="D30" s="8" t="s">
        <v>1</v>
      </c>
      <c r="E30" s="8" t="s">
        <v>1</v>
      </c>
      <c r="F30" s="8" t="s">
        <v>1</v>
      </c>
      <c r="G30" s="8" t="s">
        <v>1</v>
      </c>
      <c r="H30" s="8" t="s">
        <v>4</v>
      </c>
      <c r="I30" s="8" t="s">
        <v>1</v>
      </c>
      <c r="J30" s="8" t="s">
        <v>2</v>
      </c>
      <c r="K30" s="1">
        <f>IFERROR(
( COUNTIF(D30:J30,"S") + 0.5*COUNTIF(D30:J30,"C") )
/
( COUNTIF(D30:J30,"S") + COUNTIF(D30:J30,"C") + COUNTIF(D30:J30,"N") )
*100,0)</f>
        <v>78.571428571428569</v>
      </c>
      <c r="L30" s="1">
        <f>COUNTIF(D30:J30,"S")</f>
        <v>5</v>
      </c>
      <c r="M30" s="1">
        <f>COUNTIF(D30:J30,"C")</f>
        <v>1</v>
      </c>
      <c r="N30" s="1">
        <f>COUNTIF(D30:J30,"N")</f>
        <v>1</v>
      </c>
    </row>
    <row r="31" spans="1:23" ht="63" x14ac:dyDescent="0.25">
      <c r="A31" s="16"/>
      <c r="B31" s="15" t="s">
        <v>130</v>
      </c>
      <c r="C31" s="9" t="s">
        <v>129</v>
      </c>
      <c r="D31" s="8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8" t="s">
        <v>1</v>
      </c>
      <c r="K31" s="1">
        <f>IFERROR(
( COUNTIF(D31:J31,"S") + 0.5*COUNTIF(D31:J31,"C") )
/
( COUNTIF(D31:J31,"S") + COUNTIF(D31:J31,"C") + COUNTIF(D31:J31,"N") )
*100,0)</f>
        <v>100</v>
      </c>
      <c r="L31" s="1">
        <f>COUNTIF(D31:J31,"S")</f>
        <v>7</v>
      </c>
      <c r="M31" s="1">
        <f>COUNTIF(D31:J31,"C")</f>
        <v>0</v>
      </c>
      <c r="N31" s="1">
        <f>COUNTIF(D31:J31,"N")</f>
        <v>0</v>
      </c>
    </row>
    <row r="32" spans="1:23" ht="63" x14ac:dyDescent="0.25">
      <c r="A32" s="16"/>
      <c r="B32" s="15" t="s">
        <v>98</v>
      </c>
      <c r="C32" s="15" t="s">
        <v>128</v>
      </c>
      <c r="D32" s="8" t="s">
        <v>1</v>
      </c>
      <c r="E32" s="8" t="s">
        <v>1</v>
      </c>
      <c r="F32" s="8" t="s">
        <v>1</v>
      </c>
      <c r="G32" s="8" t="s">
        <v>1</v>
      </c>
      <c r="H32" s="8" t="s">
        <v>2</v>
      </c>
      <c r="I32" s="8" t="s">
        <v>1</v>
      </c>
      <c r="J32" s="8" t="s">
        <v>2</v>
      </c>
      <c r="K32" s="1">
        <f>IFERROR(
( COUNTIF(D32:J32,"S") + 0.5*COUNTIF(D32:J32,"C") )
/
( COUNTIF(D32:J32,"S") + COUNTIF(D32:J32,"C") + COUNTIF(D32:J32,"N") )
*100,0)</f>
        <v>71.428571428571431</v>
      </c>
      <c r="L32" s="1">
        <f>COUNTIF(D32:J32,"S")</f>
        <v>5</v>
      </c>
      <c r="M32" s="1">
        <f>COUNTIF(D32:J32,"C")</f>
        <v>0</v>
      </c>
      <c r="N32" s="1">
        <f>COUNTIF(D32:J32,"N")</f>
        <v>2</v>
      </c>
    </row>
    <row r="33" spans="1:23" ht="47.25" x14ac:dyDescent="0.25">
      <c r="A33" s="16"/>
      <c r="B33" s="15" t="s">
        <v>127</v>
      </c>
      <c r="C33" s="9" t="s">
        <v>126</v>
      </c>
      <c r="D33" s="8" t="s">
        <v>1</v>
      </c>
      <c r="E33" s="8" t="s">
        <v>1</v>
      </c>
      <c r="F33" s="8" t="s">
        <v>3</v>
      </c>
      <c r="G33" s="8" t="s">
        <v>1</v>
      </c>
      <c r="H33" s="8" t="s">
        <v>1</v>
      </c>
      <c r="I33" s="8" t="s">
        <v>1</v>
      </c>
      <c r="J33" s="8" t="s">
        <v>3</v>
      </c>
      <c r="K33" s="1">
        <f>IFERROR(
( COUNTIF(D33:J33,"S") + 0.5*COUNTIF(D33:J33,"C") )
/
( COUNTIF(D33:J33,"S") + COUNTIF(D33:J33,"C") + COUNTIF(D33:J33,"N") )
*100,0)</f>
        <v>100</v>
      </c>
      <c r="L33" s="1">
        <f>COUNTIF(D33:J33,"S")</f>
        <v>5</v>
      </c>
      <c r="M33" s="1">
        <f>COUNTIF(D33:J33,"C")</f>
        <v>0</v>
      </c>
      <c r="N33" s="1">
        <f>COUNTIF(D33:J33,"N")</f>
        <v>0</v>
      </c>
    </row>
    <row r="34" spans="1:23" ht="63" x14ac:dyDescent="0.25">
      <c r="A34" s="16"/>
      <c r="B34" s="15" t="s">
        <v>125</v>
      </c>
      <c r="C34" s="15" t="s">
        <v>124</v>
      </c>
      <c r="D34" s="8" t="s">
        <v>1</v>
      </c>
      <c r="E34" s="8" t="s">
        <v>1</v>
      </c>
      <c r="F34" s="8" t="s">
        <v>3</v>
      </c>
      <c r="G34" s="8" t="s">
        <v>1</v>
      </c>
      <c r="H34" s="8" t="s">
        <v>1</v>
      </c>
      <c r="I34" s="8" t="s">
        <v>1</v>
      </c>
      <c r="J34" s="8" t="s">
        <v>3</v>
      </c>
      <c r="K34" s="1">
        <f>IFERROR(
( COUNTIF(D34:J34,"S") + 0.5*COUNTIF(D34:J34,"C") )
/
( COUNTIF(D34:J34,"S") + COUNTIF(D34:J34,"C") + COUNTIF(D34:J34,"N") )
*100,0)</f>
        <v>100</v>
      </c>
      <c r="L34" s="1">
        <f>COUNTIF(D34:J34,"S")</f>
        <v>5</v>
      </c>
      <c r="M34" s="1">
        <f>COUNTIF(D34:J34,"C")</f>
        <v>0</v>
      </c>
      <c r="N34" s="1">
        <f>COUNTIF(D34:J34,"N")</f>
        <v>0</v>
      </c>
    </row>
    <row r="35" spans="1:23" ht="63" x14ac:dyDescent="0.25">
      <c r="A35" s="16"/>
      <c r="B35" s="15" t="s">
        <v>123</v>
      </c>
      <c r="C35" s="9" t="s">
        <v>122</v>
      </c>
      <c r="D35" s="8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1">
        <f>IFERROR(
( COUNTIF(D35:J35,"S") + 0.5*COUNTIF(D35:J35,"C") )
/
( COUNTIF(D35:J35,"S") + COUNTIF(D35:J35,"C") + COUNTIF(D35:J35,"N") )
*100,0)</f>
        <v>100</v>
      </c>
      <c r="L35" s="1">
        <f>COUNTIF(D35:J35,"S")</f>
        <v>7</v>
      </c>
      <c r="M35" s="1">
        <f>COUNTIF(D35:J35,"C")</f>
        <v>0</v>
      </c>
      <c r="N35" s="1">
        <f>COUNTIF(D35:J35,"N")</f>
        <v>0</v>
      </c>
    </row>
    <row r="36" spans="1:23" ht="78.75" x14ac:dyDescent="0.25">
      <c r="A36" s="16"/>
      <c r="B36" s="15" t="s">
        <v>96</v>
      </c>
      <c r="C36" s="15" t="s">
        <v>121</v>
      </c>
      <c r="D36" s="8" t="s">
        <v>1</v>
      </c>
      <c r="E36" s="8" t="s">
        <v>1</v>
      </c>
      <c r="F36" s="8" t="s">
        <v>3</v>
      </c>
      <c r="G36" s="8" t="s">
        <v>1</v>
      </c>
      <c r="H36" s="8" t="s">
        <v>4</v>
      </c>
      <c r="I36" s="8" t="s">
        <v>1</v>
      </c>
      <c r="J36" s="8" t="s">
        <v>4</v>
      </c>
      <c r="K36" s="1">
        <f>IFERROR(
( COUNTIF(D36:J36,"S") + 0.5*COUNTIF(D36:J36,"C") )
/
( COUNTIF(D36:J36,"S") + COUNTIF(D36:J36,"C") + COUNTIF(D36:J36,"N") )
*100,0)</f>
        <v>83.333333333333343</v>
      </c>
      <c r="L36" s="1">
        <f>COUNTIF(D36:J36,"S")</f>
        <v>4</v>
      </c>
      <c r="M36" s="1">
        <f>COUNTIF(D36:J36,"C")</f>
        <v>2</v>
      </c>
      <c r="N36" s="1">
        <f>COUNTIF(D36:J36,"N")</f>
        <v>0</v>
      </c>
    </row>
    <row r="37" spans="1:23" ht="63" x14ac:dyDescent="0.25">
      <c r="A37" s="16"/>
      <c r="B37" s="15" t="s">
        <v>120</v>
      </c>
      <c r="C37" s="9" t="s">
        <v>119</v>
      </c>
      <c r="D37" s="8" t="s">
        <v>1</v>
      </c>
      <c r="E37" s="8" t="s">
        <v>1</v>
      </c>
      <c r="F37" s="8" t="s">
        <v>1</v>
      </c>
      <c r="G37" s="8" t="s">
        <v>1</v>
      </c>
      <c r="H37" s="8" t="s">
        <v>4</v>
      </c>
      <c r="I37" s="8" t="s">
        <v>1</v>
      </c>
      <c r="J37" s="8" t="s">
        <v>4</v>
      </c>
      <c r="K37" s="1">
        <f>IFERROR(
( COUNTIF(D37:J37,"S") + 0.5*COUNTIF(D37:J37,"C") )
/
( COUNTIF(D37:J37,"S") + COUNTIF(D37:J37,"C") + COUNTIF(D37:J37,"N") )
*100,0)</f>
        <v>85.714285714285708</v>
      </c>
      <c r="L37" s="1">
        <f>COUNTIF(D37:J37,"S")</f>
        <v>5</v>
      </c>
      <c r="M37" s="1">
        <f>COUNTIF(D37:J37,"C")</f>
        <v>2</v>
      </c>
      <c r="N37" s="1">
        <f>COUNTIF(D37:J37,"N")</f>
        <v>0</v>
      </c>
    </row>
    <row r="38" spans="1:23" ht="78.75" x14ac:dyDescent="0.25">
      <c r="A38" s="16"/>
      <c r="B38" s="15" t="s">
        <v>118</v>
      </c>
      <c r="C38" s="9" t="s">
        <v>117</v>
      </c>
      <c r="D38" s="8" t="s">
        <v>1</v>
      </c>
      <c r="E38" s="8" t="s">
        <v>1</v>
      </c>
      <c r="F38" s="8" t="s">
        <v>3</v>
      </c>
      <c r="G38" s="8" t="s">
        <v>1</v>
      </c>
      <c r="H38" s="8" t="s">
        <v>1</v>
      </c>
      <c r="I38" s="8" t="s">
        <v>1</v>
      </c>
      <c r="J38" s="8" t="s">
        <v>1</v>
      </c>
      <c r="K38" s="1">
        <f>IFERROR(
( COUNTIF(D38:J38,"S") + 0.5*COUNTIF(D38:J38,"C") )
/
( COUNTIF(D38:J38,"S") + COUNTIF(D38:J38,"C") + COUNTIF(D38:J38,"N") )
*100,0)</f>
        <v>100</v>
      </c>
      <c r="L38" s="1">
        <f>COUNTIF(D38:J38,"S")</f>
        <v>6</v>
      </c>
      <c r="M38" s="1">
        <f>COUNTIF(D38:J38,"C")</f>
        <v>0</v>
      </c>
      <c r="N38" s="1">
        <f>COUNTIF(D38:J38,"N")</f>
        <v>0</v>
      </c>
    </row>
    <row r="39" spans="1:23" ht="63" x14ac:dyDescent="0.25">
      <c r="A39" s="16"/>
      <c r="B39" s="15" t="s">
        <v>100</v>
      </c>
      <c r="C39" s="9" t="s">
        <v>116</v>
      </c>
      <c r="D39" s="8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1">
        <f>IFERROR(
( COUNTIF(D39:J39,"S") + 0.5*COUNTIF(D39:J39,"C") )
/
( COUNTIF(D39:J39,"S") + COUNTIF(D39:J39,"C") + COUNTIF(D39:J39,"N") )
*100,0)</f>
        <v>100</v>
      </c>
      <c r="L39" s="1">
        <f>COUNTIF(D39:J39,"S")</f>
        <v>7</v>
      </c>
      <c r="M39" s="1">
        <f>COUNTIF(D39:J39,"C")</f>
        <v>0</v>
      </c>
      <c r="N39" s="1">
        <f>COUNTIF(D39:J39,"N")</f>
        <v>0</v>
      </c>
    </row>
    <row r="40" spans="1:23" ht="47.25" x14ac:dyDescent="0.25">
      <c r="A40" s="16"/>
      <c r="B40" s="15" t="s">
        <v>115</v>
      </c>
      <c r="C40" s="9" t="s">
        <v>114</v>
      </c>
      <c r="D40" s="8" t="s">
        <v>1</v>
      </c>
      <c r="E40" s="8" t="s">
        <v>1</v>
      </c>
      <c r="F40" s="8" t="s">
        <v>1</v>
      </c>
      <c r="G40" s="8" t="s">
        <v>1</v>
      </c>
      <c r="H40" s="8" t="s">
        <v>1</v>
      </c>
      <c r="I40" s="8" t="s">
        <v>1</v>
      </c>
      <c r="J40" s="8" t="s">
        <v>1</v>
      </c>
      <c r="K40" s="1">
        <f>IFERROR(
( COUNTIF(D40:J40,"S") + 0.5*COUNTIF(D40:J40,"C") )
/
( COUNTIF(D40:J40,"S") + COUNTIF(D40:J40,"C") + COUNTIF(D40:J40,"N") )
*100,0)</f>
        <v>100</v>
      </c>
      <c r="L40" s="1">
        <f>COUNTIF(D40:J40,"S")</f>
        <v>7</v>
      </c>
      <c r="M40" s="1">
        <f>COUNTIF(D40:J40,"C")</f>
        <v>0</v>
      </c>
      <c r="N40" s="1">
        <f>COUNTIF(D40:J40,"N")</f>
        <v>0</v>
      </c>
    </row>
    <row r="41" spans="1:23" ht="63" x14ac:dyDescent="0.25">
      <c r="A41" s="16"/>
      <c r="B41" s="15" t="s">
        <v>113</v>
      </c>
      <c r="C41" s="9" t="s">
        <v>112</v>
      </c>
      <c r="D41" s="8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1">
        <f>IFERROR(
( COUNTIF(D41:J41,"S") + 0.5*COUNTIF(D41:J41,"C") )
/
( COUNTIF(D41:J41,"S") + COUNTIF(D41:J41,"C") + COUNTIF(D41:J41,"N") )
*100,0)</f>
        <v>100</v>
      </c>
      <c r="L41" s="1">
        <f>COUNTIF(D41:J41,"S")</f>
        <v>7</v>
      </c>
      <c r="M41" s="1">
        <f>COUNTIF(D41:J41,"C")</f>
        <v>0</v>
      </c>
      <c r="N41" s="1">
        <f>COUNTIF(D41:J41,"N")</f>
        <v>0</v>
      </c>
      <c r="P41" s="1" t="str">
        <f>_xlfn.LET(
_xlpm.col,D26:D41,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41" s="1" t="str">
        <f>_xlfn.LET(
_xlpm.col,E26:E41,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41" s="1" t="str">
        <f>_xlfn.LET(
_xlpm.col,F26:F41,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41" s="1" t="str">
        <f>_xlfn.LET(
_xlpm.col,G26:G41,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41" s="1" t="str">
        <f>_xlfn.LET(
_xlpm.col,H26:H41,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41" s="1" t="str">
        <f>_xlfn.LET(
_xlpm.col,I26:I41,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41" s="1" t="str">
        <f>_xlfn.LET(
_xlpm.col,J26:J41,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W41" s="2">
        <f>IFERROR(
( COUNTIF(D26:J41,"S") + 0.5*COUNTIF(D26:J41,"C") )
/
( COUNTIF(D26:J41,"S") + COUNTIF(D26:J41,"C") + COUNTIF(D26:J41,"N") )
*100,0)</f>
        <v>87.61904761904762</v>
      </c>
    </row>
    <row r="42" spans="1:23" ht="15.75" x14ac:dyDescent="0.25">
      <c r="A42" s="7" t="s">
        <v>58</v>
      </c>
      <c r="B42" s="6" t="s">
        <v>57</v>
      </c>
      <c r="C42" s="6" t="s">
        <v>111</v>
      </c>
      <c r="D42" s="14"/>
      <c r="E42" s="14"/>
      <c r="F42" s="14"/>
      <c r="G42" s="14"/>
      <c r="H42" s="14"/>
      <c r="I42" s="14"/>
      <c r="J42" s="14"/>
    </row>
    <row r="43" spans="1:23" ht="90" x14ac:dyDescent="0.25">
      <c r="A43" s="5" t="s">
        <v>110</v>
      </c>
      <c r="B43" s="4" t="s">
        <v>109</v>
      </c>
      <c r="C43" s="4" t="s">
        <v>108</v>
      </c>
      <c r="D43" s="8" t="s">
        <v>1</v>
      </c>
      <c r="E43" s="8" t="s">
        <v>2</v>
      </c>
      <c r="F43" s="8" t="s">
        <v>1</v>
      </c>
      <c r="G43" s="8" t="s">
        <v>1</v>
      </c>
      <c r="H43" s="8" t="s">
        <v>2</v>
      </c>
      <c r="I43" s="8" t="s">
        <v>2</v>
      </c>
      <c r="J43" s="8" t="s">
        <v>2</v>
      </c>
      <c r="K43" s="1">
        <f>IFERROR(
( COUNTIF(D43:J43,"S") + 0.5*COUNTIF(D43:J43,"C") )
/
( COUNTIF(D43:J43,"S") + COUNTIF(D43:J43,"C") + COUNTIF(D43:J43,"N") )
*100,0)</f>
        <v>42.857142857142854</v>
      </c>
      <c r="L43" s="1">
        <f>COUNTIF(D43:J43,"S")</f>
        <v>3</v>
      </c>
      <c r="M43" s="1">
        <f>COUNTIF(D43:J43,"C")</f>
        <v>0</v>
      </c>
      <c r="N43" s="1">
        <f>COUNTIF(D43:J43,"N")</f>
        <v>4</v>
      </c>
    </row>
    <row r="44" spans="1:23" ht="90" x14ac:dyDescent="0.25">
      <c r="A44" s="5"/>
      <c r="B44" s="4" t="s">
        <v>107</v>
      </c>
      <c r="C44" s="4" t="s">
        <v>106</v>
      </c>
      <c r="D44" s="8" t="s">
        <v>1</v>
      </c>
      <c r="E44" s="8" t="s">
        <v>2</v>
      </c>
      <c r="F44" s="8" t="s">
        <v>1</v>
      </c>
      <c r="G44" s="8" t="s">
        <v>1</v>
      </c>
      <c r="H44" s="8" t="s">
        <v>4</v>
      </c>
      <c r="I44" s="8" t="s">
        <v>4</v>
      </c>
      <c r="J44" s="8" t="s">
        <v>2</v>
      </c>
      <c r="K44" s="1">
        <f>IFERROR(
( COUNTIF(D44:J44,"S") + 0.5*COUNTIF(D44:J44,"C") )
/
( COUNTIF(D44:J44,"S") + COUNTIF(D44:J44,"C") + COUNTIF(D44:J44,"N") )
*100,0)</f>
        <v>57.142857142857139</v>
      </c>
      <c r="L44" s="1">
        <f>COUNTIF(D44:J44,"S")</f>
        <v>3</v>
      </c>
      <c r="M44" s="1">
        <f>COUNTIF(D44:J44,"C")</f>
        <v>2</v>
      </c>
      <c r="N44" s="1">
        <f>COUNTIF(D44:J44,"N")</f>
        <v>2</v>
      </c>
    </row>
    <row r="45" spans="1:23" ht="105" x14ac:dyDescent="0.25">
      <c r="A45" s="5"/>
      <c r="B45" s="4" t="s">
        <v>105</v>
      </c>
      <c r="C45" s="4" t="s">
        <v>104</v>
      </c>
      <c r="D45" s="8" t="s">
        <v>1</v>
      </c>
      <c r="E45" s="8" t="s">
        <v>4</v>
      </c>
      <c r="F45" s="8" t="s">
        <v>1</v>
      </c>
      <c r="G45" s="8" t="s">
        <v>1</v>
      </c>
      <c r="H45" s="8" t="s">
        <v>2</v>
      </c>
      <c r="I45" s="8" t="s">
        <v>1</v>
      </c>
      <c r="J45" s="8" t="s">
        <v>2</v>
      </c>
      <c r="K45" s="1">
        <f>IFERROR(
( COUNTIF(D45:J45,"S") + 0.5*COUNTIF(D45:J45,"C") )
/
( COUNTIF(D45:J45,"S") + COUNTIF(D45:J45,"C") + COUNTIF(D45:J45,"N") )
*100,0)</f>
        <v>64.285714285714292</v>
      </c>
      <c r="L45" s="1">
        <f>COUNTIF(D45:J45,"S")</f>
        <v>4</v>
      </c>
      <c r="M45" s="1">
        <f>COUNTIF(D45:J45,"C")</f>
        <v>1</v>
      </c>
      <c r="N45" s="1">
        <f>COUNTIF(D45:J45,"N")</f>
        <v>2</v>
      </c>
    </row>
    <row r="46" spans="1:23" ht="75" x14ac:dyDescent="0.25">
      <c r="A46" s="5"/>
      <c r="B46" s="4" t="s">
        <v>103</v>
      </c>
      <c r="C46" s="4" t="s">
        <v>102</v>
      </c>
      <c r="D46" s="8" t="s">
        <v>1</v>
      </c>
      <c r="E46" s="8" t="s">
        <v>4</v>
      </c>
      <c r="F46" s="8" t="s">
        <v>1</v>
      </c>
      <c r="G46" s="8" t="s">
        <v>2</v>
      </c>
      <c r="H46" s="8" t="s">
        <v>4</v>
      </c>
      <c r="I46" s="8" t="s">
        <v>4</v>
      </c>
      <c r="J46" s="8" t="s">
        <v>2</v>
      </c>
      <c r="K46" s="1">
        <f>IFERROR(
( COUNTIF(D46:J46,"S") + 0.5*COUNTIF(D46:J46,"C") )
/
( COUNTIF(D46:J46,"S") + COUNTIF(D46:J46,"C") + COUNTIF(D46:J46,"N") )
*100,0)</f>
        <v>50</v>
      </c>
      <c r="L46" s="1">
        <f>COUNTIF(D46:J46,"S")</f>
        <v>2</v>
      </c>
      <c r="M46" s="1">
        <f>COUNTIF(D46:J46,"C")</f>
        <v>3</v>
      </c>
      <c r="N46" s="1">
        <f>COUNTIF(D46:J46,"N")</f>
        <v>2</v>
      </c>
      <c r="P46" s="1" t="str">
        <f>_xlfn.LET(
_xlpm.col,D43:D46,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46" s="1" t="str">
        <f>_xlfn.LET(
_xlpm.col,E43:E46,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R46" s="1" t="str">
        <f>_xlfn.LET(
_xlpm.col,F43:F46,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46" s="1" t="str">
        <f>_xlfn.LET(
_xlpm.col,G43:G46,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46" s="1" t="str">
        <f>_xlfn.LET(
_xlpm.col,H43:H46,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U46" s="1" t="str">
        <f>_xlfn.LET(
_xlpm.col,I43:I46,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V46" s="1" t="str">
        <f>_xlfn.LET(
_xlpm.col,J43:J46,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46" s="2">
        <f>IFERROR(
( COUNTIF(D43:J46,"S") + 0.5*COUNTIF(D43:J46,"C") )
/
( COUNTIF(D43:J46,"S") + COUNTIF(D43:J46,"C") + COUNTIF(D43:J46,"N") )
*100,0)</f>
        <v>53.571428571428569</v>
      </c>
    </row>
    <row r="47" spans="1:23" ht="90" x14ac:dyDescent="0.25">
      <c r="A47" s="13" t="s">
        <v>101</v>
      </c>
      <c r="B47" s="4" t="s">
        <v>100</v>
      </c>
      <c r="C47" s="4" t="s">
        <v>99</v>
      </c>
      <c r="D47" s="8" t="s">
        <v>1</v>
      </c>
      <c r="E47" s="8" t="s">
        <v>1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1">
        <f>IFERROR(
( COUNTIF(D47:J47,"S") + 0.5*COUNTIF(D47:J47,"C") )
/
( COUNTIF(D47:J47,"S") + COUNTIF(D47:J47,"C") + COUNTIF(D47:J47,"N") )
*100,0)</f>
        <v>100</v>
      </c>
      <c r="L47" s="1">
        <f>COUNTIF(D47:J47,"S")</f>
        <v>7</v>
      </c>
      <c r="M47" s="1">
        <f>COUNTIF(D47:J47,"C")</f>
        <v>0</v>
      </c>
      <c r="N47" s="1">
        <f>COUNTIF(D47:J47,"N")</f>
        <v>0</v>
      </c>
    </row>
    <row r="48" spans="1:23" ht="90" x14ac:dyDescent="0.25">
      <c r="A48" s="13"/>
      <c r="B48" s="4" t="s">
        <v>98</v>
      </c>
      <c r="C48" s="4" t="s">
        <v>97</v>
      </c>
      <c r="D48" s="8" t="s">
        <v>1</v>
      </c>
      <c r="E48" s="8" t="s">
        <v>1</v>
      </c>
      <c r="F48" s="8" t="s">
        <v>1</v>
      </c>
      <c r="G48" s="8" t="s">
        <v>1</v>
      </c>
      <c r="H48" s="8" t="s">
        <v>2</v>
      </c>
      <c r="I48" s="8" t="s">
        <v>1</v>
      </c>
      <c r="J48" s="8" t="s">
        <v>2</v>
      </c>
      <c r="K48" s="1">
        <f>IFERROR(
( COUNTIF(D48:J48,"S") + 0.5*COUNTIF(D48:J48,"C") )
/
( COUNTIF(D48:J48,"S") + COUNTIF(D48:J48,"C") + COUNTIF(D48:J48,"N") )
*100,0)</f>
        <v>71.428571428571431</v>
      </c>
      <c r="L48" s="1">
        <f>COUNTIF(D48:J48,"S")</f>
        <v>5</v>
      </c>
      <c r="M48" s="1">
        <f>COUNTIF(D48:J48,"C")</f>
        <v>0</v>
      </c>
      <c r="N48" s="1">
        <f>COUNTIF(D48:J48,"N")</f>
        <v>2</v>
      </c>
    </row>
    <row r="49" spans="1:23" ht="75" x14ac:dyDescent="0.25">
      <c r="A49" s="13"/>
      <c r="B49" s="4" t="s">
        <v>96</v>
      </c>
      <c r="C49" s="4" t="s">
        <v>95</v>
      </c>
      <c r="D49" s="8" t="s">
        <v>1</v>
      </c>
      <c r="E49" s="8" t="s">
        <v>1</v>
      </c>
      <c r="F49" s="8" t="s">
        <v>1</v>
      </c>
      <c r="G49" s="8" t="s">
        <v>1</v>
      </c>
      <c r="H49" s="8" t="s">
        <v>4</v>
      </c>
      <c r="I49" s="8" t="s">
        <v>1</v>
      </c>
      <c r="J49" s="8" t="s">
        <v>4</v>
      </c>
      <c r="K49" s="1">
        <f>IFERROR(
( COUNTIF(D49:J49,"S") + 0.5*COUNTIF(D49:J49,"C") )
/
( COUNTIF(D49:J49,"S") + COUNTIF(D49:J49,"C") + COUNTIF(D49:J49,"N") )
*100,0)</f>
        <v>85.714285714285708</v>
      </c>
      <c r="L49" s="1">
        <f>COUNTIF(D49:J49,"S")</f>
        <v>5</v>
      </c>
      <c r="M49" s="1">
        <f>COUNTIF(D49:J49,"C")</f>
        <v>2</v>
      </c>
      <c r="N49" s="1">
        <f>COUNTIF(D49:J49,"N")</f>
        <v>0</v>
      </c>
      <c r="P49" s="1" t="str">
        <f>_xlfn.LET(
_xlpm.col,D47:D49,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49" s="1" t="str">
        <f>_xlfn.LET(
_xlpm.col,E47:E49,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49" s="1" t="str">
        <f>_xlfn.LET(
_xlpm.col,F47:F49,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49" s="1" t="str">
        <f>_xlfn.LET(
_xlpm.col,G47:G49,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49" s="1" t="str">
        <f>_xlfn.LET(
_xlpm.col,H47:H49,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49" s="1" t="str">
        <f>_xlfn.LET(
_xlpm.col,I47:I49,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49" s="1" t="str">
        <f>_xlfn.LET(
_xlpm.col,J47:J49,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W49" s="2">
        <f>IFERROR(
( COUNTIF(D47:J49,"S") + 0.5*COUNTIF(D47:J49,"C") )
/
( COUNTIF(D47:J49,"S") + COUNTIF(D47:J49,"C") + COUNTIF(D47:J49,"N") )
*100,0)</f>
        <v>85.714285714285708</v>
      </c>
    </row>
    <row r="50" spans="1:23" ht="90" x14ac:dyDescent="0.25">
      <c r="A50" s="13" t="s">
        <v>94</v>
      </c>
      <c r="B50" s="4" t="s">
        <v>93</v>
      </c>
      <c r="C50" s="4" t="s">
        <v>92</v>
      </c>
      <c r="D50" s="8" t="s">
        <v>1</v>
      </c>
      <c r="E50" s="8" t="s">
        <v>1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1">
        <f>IFERROR(
( COUNTIF(D50:J50,"S") + 0.5*COUNTIF(D50:J50,"C") )
/
( COUNTIF(D50:J50,"S") + COUNTIF(D50:J50,"C") + COUNTIF(D50:J50,"N") )
*100,0)</f>
        <v>100</v>
      </c>
      <c r="L50" s="1">
        <f>COUNTIF(D50:J50,"S")</f>
        <v>7</v>
      </c>
      <c r="M50" s="1">
        <f>COUNTIF(D50:J50,"C")</f>
        <v>0</v>
      </c>
      <c r="N50" s="1">
        <f>COUNTIF(D50:J50,"N")</f>
        <v>0</v>
      </c>
    </row>
    <row r="51" spans="1:23" ht="90" x14ac:dyDescent="0.25">
      <c r="A51" s="13"/>
      <c r="B51" s="4" t="s">
        <v>91</v>
      </c>
      <c r="C51" s="4" t="s">
        <v>90</v>
      </c>
      <c r="D51" s="8" t="s">
        <v>1</v>
      </c>
      <c r="E51" s="8" t="s">
        <v>1</v>
      </c>
      <c r="F51" s="8" t="s">
        <v>1</v>
      </c>
      <c r="G51" s="8" t="s">
        <v>1</v>
      </c>
      <c r="H51" s="8" t="s">
        <v>2</v>
      </c>
      <c r="I51" s="8" t="s">
        <v>4</v>
      </c>
      <c r="J51" s="8" t="s">
        <v>2</v>
      </c>
      <c r="K51" s="1">
        <f>IFERROR(
( COUNTIF(D51:J51,"S") + 0.5*COUNTIF(D51:J51,"C") )
/
( COUNTIF(D51:J51,"S") + COUNTIF(D51:J51,"C") + COUNTIF(D51:J51,"N") )
*100,0)</f>
        <v>64.285714285714292</v>
      </c>
      <c r="L51" s="1">
        <f>COUNTIF(D51:J51,"S")</f>
        <v>4</v>
      </c>
      <c r="M51" s="1">
        <f>COUNTIF(D51:J51,"C")</f>
        <v>1</v>
      </c>
      <c r="N51" s="1">
        <f>COUNTIF(D51:J51,"N")</f>
        <v>2</v>
      </c>
    </row>
    <row r="52" spans="1:23" ht="90" x14ac:dyDescent="0.25">
      <c r="A52" s="13"/>
      <c r="B52" s="4" t="s">
        <v>89</v>
      </c>
      <c r="C52" s="4" t="s">
        <v>88</v>
      </c>
      <c r="D52" s="8" t="s">
        <v>1</v>
      </c>
      <c r="E52" s="8" t="s">
        <v>1</v>
      </c>
      <c r="F52" s="8" t="s">
        <v>1</v>
      </c>
      <c r="G52" s="8" t="s">
        <v>1</v>
      </c>
      <c r="H52" s="8" t="s">
        <v>4</v>
      </c>
      <c r="I52" s="8" t="s">
        <v>1</v>
      </c>
      <c r="J52" s="8" t="s">
        <v>4</v>
      </c>
      <c r="K52" s="1">
        <f>IFERROR(
( COUNTIF(D52:J52,"S") + 0.5*COUNTIF(D52:J52,"C") )
/
( COUNTIF(D52:J52,"S") + COUNTIF(D52:J52,"C") + COUNTIF(D52:J52,"N") )
*100,0)</f>
        <v>85.714285714285708</v>
      </c>
      <c r="L52" s="1">
        <f>COUNTIF(D52:J52,"S")</f>
        <v>5</v>
      </c>
      <c r="M52" s="1">
        <f>COUNTIF(D52:J52,"C")</f>
        <v>2</v>
      </c>
      <c r="N52" s="1">
        <f>COUNTIF(D52:J52,"N")</f>
        <v>0</v>
      </c>
      <c r="P52" s="1" t="str">
        <f>_xlfn.LET(
_xlpm.col,D50:D52,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52" s="1" t="str">
        <f>_xlfn.LET(
_xlpm.col,E50:E52,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52" s="1" t="str">
        <f>_xlfn.LET(
_xlpm.col,F50:F52,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52" s="1" t="str">
        <f>_xlfn.LET(
_xlpm.col,G50:G52,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52" s="1" t="str">
        <f>_xlfn.LET(
_xlpm.col,H50:H52,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52" s="1" t="str">
        <f>_xlfn.LET(
_xlpm.col,I50:I52,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52" s="1" t="str">
        <f>_xlfn.LET(
_xlpm.col,J50:J52,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W52" s="2">
        <f>IFERROR(
( COUNTIF(D50:J52,"S") + 0.5*COUNTIF(D50:J52,"C") )
/
( COUNTIF(D50:J52,"S") + COUNTIF(D50:J52,"C") + COUNTIF(D50:J52,"N") )
*100,0)</f>
        <v>83.333333333333343</v>
      </c>
    </row>
    <row r="53" spans="1:23" ht="15.75" x14ac:dyDescent="0.25">
      <c r="A53" s="7" t="s">
        <v>58</v>
      </c>
      <c r="B53" s="6" t="s">
        <v>57</v>
      </c>
      <c r="C53" s="6" t="s">
        <v>56</v>
      </c>
      <c r="D53" s="3"/>
      <c r="E53" s="3"/>
      <c r="F53" s="3"/>
      <c r="G53" s="3"/>
      <c r="H53" s="3"/>
      <c r="I53" s="3"/>
      <c r="J53" s="3"/>
    </row>
    <row r="54" spans="1:23" ht="15.75" x14ac:dyDescent="0.25">
      <c r="A54" s="12"/>
      <c r="B54" s="4"/>
      <c r="C54" s="4"/>
      <c r="D54" s="3"/>
      <c r="E54" s="3"/>
      <c r="F54" s="3"/>
      <c r="G54" s="3"/>
      <c r="H54" s="3"/>
      <c r="I54" s="3"/>
      <c r="J54" s="3"/>
    </row>
    <row r="55" spans="1:23" ht="45" x14ac:dyDescent="0.25">
      <c r="A55" s="11" t="s">
        <v>87</v>
      </c>
      <c r="B55" s="4" t="s">
        <v>18</v>
      </c>
      <c r="C55" s="4" t="s">
        <v>86</v>
      </c>
      <c r="D55" s="8" t="s">
        <v>3</v>
      </c>
      <c r="E55" s="8" t="s">
        <v>1</v>
      </c>
      <c r="F55" s="8" t="s">
        <v>3</v>
      </c>
      <c r="G55" s="8" t="s">
        <v>1</v>
      </c>
      <c r="H55" s="8" t="s">
        <v>1</v>
      </c>
      <c r="I55" s="8" t="s">
        <v>3</v>
      </c>
      <c r="J55" s="8" t="s">
        <v>1</v>
      </c>
      <c r="K55" s="1">
        <f>IFERROR(
( COUNTIF(D55:J55,"S") + 0.5*COUNTIF(D55:J55,"C") )
/
( COUNTIF(D55:J55,"S") + COUNTIF(D55:J55,"C") + COUNTIF(D55:J55,"N") )
*100,0)</f>
        <v>100</v>
      </c>
      <c r="L55" s="1">
        <f>COUNTIF(D55:J55,"S")</f>
        <v>4</v>
      </c>
      <c r="M55" s="1">
        <f>COUNTIF(D55:J55,"C")</f>
        <v>0</v>
      </c>
      <c r="N55" s="1">
        <f>COUNTIF(D55:J55,"N")</f>
        <v>0</v>
      </c>
      <c r="P55" s="1" t="str">
        <f>_xlfn.LET(
_xlpm.col,D55,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Q55" s="1" t="str">
        <f>_xlfn.LET(
_xlpm.col,E55,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55" s="1" t="str">
        <f>_xlfn.LET(
_xlpm.col,F55,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55" s="1" t="str">
        <f>_xlfn.LET(
_xlpm.col,G55,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55" s="1" t="str">
        <f>_xlfn.LET(
_xlpm.col,H55,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55" s="1" t="str">
        <f>_xlfn.LET(
_xlpm.col,I55,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V55" s="1" t="str">
        <f>_xlfn.LET(
_xlpm.col,J55,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W55" s="2">
        <f>IFERROR(
( COUNTIF(D55:J55,"S") + 0.5*COUNTIF(D55:J55,"C") )
/
( COUNTIF(D55:J55,"S") + COUNTIF(D55:J55,"C") + COUNTIF(D55:J55,"N") )
*100,0)</f>
        <v>100</v>
      </c>
    </row>
    <row r="56" spans="1:23" ht="45" x14ac:dyDescent="0.25">
      <c r="A56" s="5" t="s">
        <v>85</v>
      </c>
      <c r="B56" s="4" t="s">
        <v>16</v>
      </c>
      <c r="C56" s="4" t="s">
        <v>84</v>
      </c>
      <c r="D56" s="8" t="s">
        <v>3</v>
      </c>
      <c r="E56" s="8" t="s">
        <v>4</v>
      </c>
      <c r="F56" s="8" t="s">
        <v>1</v>
      </c>
      <c r="G56" s="8" t="s">
        <v>1</v>
      </c>
      <c r="H56" s="8" t="s">
        <v>2</v>
      </c>
      <c r="I56" s="8" t="s">
        <v>3</v>
      </c>
      <c r="J56" s="8" t="s">
        <v>2</v>
      </c>
      <c r="K56" s="1">
        <f>IFERROR(
( COUNTIF(D56:J56,"S") + 0.5*COUNTIF(D56:J56,"C") )
/
( COUNTIF(D56:J56,"S") + COUNTIF(D56:J56,"C") + COUNTIF(D56:J56,"N") )
*100,0)</f>
        <v>50</v>
      </c>
      <c r="L56" s="1">
        <f>COUNTIF(D56:J56,"S")</f>
        <v>2</v>
      </c>
      <c r="M56" s="1">
        <f>COUNTIF(D56:J56,"C")</f>
        <v>1</v>
      </c>
      <c r="N56" s="1">
        <f>COUNTIF(D56:J56,"N")</f>
        <v>2</v>
      </c>
    </row>
    <row r="57" spans="1:23" ht="75" x14ac:dyDescent="0.25">
      <c r="A57" s="5"/>
      <c r="B57" s="4" t="s">
        <v>14</v>
      </c>
      <c r="C57" s="4" t="s">
        <v>83</v>
      </c>
      <c r="D57" s="8" t="s">
        <v>3</v>
      </c>
      <c r="E57" s="8" t="s">
        <v>1</v>
      </c>
      <c r="F57" s="8" t="s">
        <v>1</v>
      </c>
      <c r="G57" s="8" t="s">
        <v>1</v>
      </c>
      <c r="H57" s="8" t="s">
        <v>1</v>
      </c>
      <c r="I57" s="8" t="s">
        <v>3</v>
      </c>
      <c r="J57" s="8" t="s">
        <v>1</v>
      </c>
      <c r="K57" s="1">
        <f>IFERROR(
( COUNTIF(D57:J57,"S") + 0.5*COUNTIF(D57:J57,"C") )
/
( COUNTIF(D57:J57,"S") + COUNTIF(D57:J57,"C") + COUNTIF(D57:J57,"N") )
*100,0)</f>
        <v>100</v>
      </c>
      <c r="L57" s="1">
        <f>COUNTIF(D57:J57,"S")</f>
        <v>5</v>
      </c>
      <c r="M57" s="1">
        <f>COUNTIF(D57:J57,"C")</f>
        <v>0</v>
      </c>
      <c r="N57" s="1">
        <f>COUNTIF(D57:J57,"N")</f>
        <v>0</v>
      </c>
    </row>
    <row r="58" spans="1:23" ht="45" x14ac:dyDescent="0.25">
      <c r="A58" s="5"/>
      <c r="B58" s="4" t="s">
        <v>12</v>
      </c>
      <c r="C58" s="4" t="s">
        <v>82</v>
      </c>
      <c r="D58" s="8" t="s">
        <v>3</v>
      </c>
      <c r="E58" s="8" t="s">
        <v>4</v>
      </c>
      <c r="F58" s="8" t="s">
        <v>1</v>
      </c>
      <c r="G58" s="8" t="s">
        <v>2</v>
      </c>
      <c r="H58" s="8" t="s">
        <v>4</v>
      </c>
      <c r="I58" s="8" t="s">
        <v>3</v>
      </c>
      <c r="J58" s="8" t="s">
        <v>4</v>
      </c>
      <c r="K58" s="1">
        <f>IFERROR(
( COUNTIF(D58:J58,"S") + 0.5*COUNTIF(D58:J58,"C") )
/
( COUNTIF(D58:J58,"S") + COUNTIF(D58:J58,"C") + COUNTIF(D58:J58,"N") )
*100,0)</f>
        <v>50</v>
      </c>
      <c r="L58" s="1">
        <f>COUNTIF(D58:J58,"S")</f>
        <v>1</v>
      </c>
      <c r="M58" s="1">
        <f>COUNTIF(D58:J58,"C")</f>
        <v>3</v>
      </c>
      <c r="N58" s="1">
        <f>COUNTIF(D58:J58,"N")</f>
        <v>1</v>
      </c>
    </row>
    <row r="59" spans="1:23" ht="45" x14ac:dyDescent="0.25">
      <c r="A59" s="5"/>
      <c r="B59" s="4" t="s">
        <v>11</v>
      </c>
      <c r="C59" s="4" t="s">
        <v>81</v>
      </c>
      <c r="D59" s="8" t="s">
        <v>3</v>
      </c>
      <c r="E59" s="8" t="s">
        <v>4</v>
      </c>
      <c r="F59" s="8" t="s">
        <v>1</v>
      </c>
      <c r="G59" s="8" t="s">
        <v>1</v>
      </c>
      <c r="H59" s="8" t="s">
        <v>1</v>
      </c>
      <c r="I59" s="8" t="s">
        <v>3</v>
      </c>
      <c r="J59" s="8" t="s">
        <v>1</v>
      </c>
      <c r="K59" s="1">
        <f>IFERROR(
( COUNTIF(D59:J59,"S") + 0.5*COUNTIF(D59:J59,"C") )
/
( COUNTIF(D59:J59,"S") + COUNTIF(D59:J59,"C") + COUNTIF(D59:J59,"N") )
*100,0)</f>
        <v>90</v>
      </c>
      <c r="L59" s="1">
        <f>COUNTIF(D59:J59,"S")</f>
        <v>4</v>
      </c>
      <c r="M59" s="1">
        <f>COUNTIF(D59:J59,"C")</f>
        <v>1</v>
      </c>
      <c r="N59" s="1">
        <f>COUNTIF(D59:J59,"N")</f>
        <v>0</v>
      </c>
    </row>
    <row r="60" spans="1:23" ht="60" x14ac:dyDescent="0.25">
      <c r="A60" s="5"/>
      <c r="B60" s="4" t="s">
        <v>9</v>
      </c>
      <c r="C60" s="4" t="s">
        <v>80</v>
      </c>
      <c r="D60" s="8" t="s">
        <v>3</v>
      </c>
      <c r="E60" s="8" t="s">
        <v>4</v>
      </c>
      <c r="F60" s="8" t="s">
        <v>1</v>
      </c>
      <c r="G60" s="8" t="s">
        <v>1</v>
      </c>
      <c r="H60" s="8" t="s">
        <v>2</v>
      </c>
      <c r="I60" s="8" t="s">
        <v>3</v>
      </c>
      <c r="J60" s="8" t="s">
        <v>4</v>
      </c>
      <c r="K60" s="1">
        <f>IFERROR(
( COUNTIF(D60:J60,"S") + 0.5*COUNTIF(D60:J60,"C") )
/
( COUNTIF(D60:J60,"S") + COUNTIF(D60:J60,"C") + COUNTIF(D60:J60,"N") )
*100,0)</f>
        <v>60</v>
      </c>
      <c r="L60" s="1">
        <f>COUNTIF(D60:J60,"S")</f>
        <v>2</v>
      </c>
      <c r="M60" s="1">
        <f>COUNTIF(D60:J60,"C")</f>
        <v>2</v>
      </c>
      <c r="N60" s="1">
        <f>COUNTIF(D60:J60,"N")</f>
        <v>1</v>
      </c>
    </row>
    <row r="61" spans="1:23" ht="45" x14ac:dyDescent="0.25">
      <c r="A61" s="5"/>
      <c r="B61" s="4" t="s">
        <v>7</v>
      </c>
      <c r="C61" s="4" t="s">
        <v>79</v>
      </c>
      <c r="D61" s="8" t="s">
        <v>3</v>
      </c>
      <c r="E61" s="8" t="s">
        <v>4</v>
      </c>
      <c r="F61" s="8" t="s">
        <v>1</v>
      </c>
      <c r="G61" s="8" t="s">
        <v>1</v>
      </c>
      <c r="H61" s="8" t="s">
        <v>2</v>
      </c>
      <c r="I61" s="8" t="s">
        <v>3</v>
      </c>
      <c r="J61" s="8" t="s">
        <v>4</v>
      </c>
      <c r="K61" s="1">
        <f>IFERROR(
( COUNTIF(D61:J61,"S") + 0.5*COUNTIF(D61:J61,"C") )
/
( COUNTIF(D61:J61,"S") + COUNTIF(D61:J61,"C") + COUNTIF(D61:J61,"N") )
*100,0)</f>
        <v>60</v>
      </c>
      <c r="L61" s="1">
        <f>COUNTIF(D61:J61,"S")</f>
        <v>2</v>
      </c>
      <c r="M61" s="1">
        <f>COUNTIF(D61:J61,"C")</f>
        <v>2</v>
      </c>
      <c r="N61" s="1">
        <f>COUNTIF(D61:J61,"N")</f>
        <v>1</v>
      </c>
      <c r="P61" s="1" t="str">
        <f>_xlfn.LET(
_xlpm.col,D56:D61,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Q61" s="1" t="str">
        <f>_xlfn.LET(
_xlpm.col,E56:E61,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R61" s="1" t="str">
        <f>_xlfn.LET(
_xlpm.col,F56:F61,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61" s="1" t="str">
        <f>_xlfn.LET(
_xlpm.col,G56:G61,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61" s="1" t="str">
        <f>_xlfn.LET(
_xlpm.col,H56:H61,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U61" s="1" t="str">
        <f>_xlfn.LET(
_xlpm.col,I56:I61,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V61" s="1" t="str">
        <f>_xlfn.LET(
_xlpm.col,J56:J61,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W61" s="2">
        <f>IFERROR(
( COUNTIF(D56:J61,"S") + 0.5*COUNTIF(D56:J61,"C") )
/
( COUNTIF(D56:J61,"S") + COUNTIF(D56:J61,"C") + COUNTIF(D56:J61,"N") )
*100,0)</f>
        <v>68.333333333333329</v>
      </c>
    </row>
    <row r="62" spans="1:23" ht="60" x14ac:dyDescent="0.25">
      <c r="A62" s="5" t="s">
        <v>78</v>
      </c>
      <c r="B62" s="4" t="s">
        <v>16</v>
      </c>
      <c r="C62" s="4" t="s">
        <v>77</v>
      </c>
      <c r="D62" s="8" t="s">
        <v>3</v>
      </c>
      <c r="E62" s="8" t="s">
        <v>1</v>
      </c>
      <c r="F62" s="8" t="s">
        <v>1</v>
      </c>
      <c r="G62" s="8" t="s">
        <v>1</v>
      </c>
      <c r="H62" s="8" t="s">
        <v>4</v>
      </c>
      <c r="I62" s="8" t="s">
        <v>3</v>
      </c>
      <c r="J62" s="8" t="s">
        <v>4</v>
      </c>
      <c r="K62" s="1">
        <f>IFERROR(
( COUNTIF(D62:J62,"S") + 0.5*COUNTIF(D62:J62,"C") )
/
( COUNTIF(D62:J62,"S") + COUNTIF(D62:J62,"C") + COUNTIF(D62:J62,"N") )
*100,0)</f>
        <v>80</v>
      </c>
      <c r="L62" s="1">
        <f>COUNTIF(D62:J62,"S")</f>
        <v>3</v>
      </c>
      <c r="M62" s="1">
        <f>COUNTIF(D62:J62,"C")</f>
        <v>2</v>
      </c>
      <c r="N62" s="1">
        <f>COUNTIF(D62:J62,"N")</f>
        <v>0</v>
      </c>
    </row>
    <row r="63" spans="1:23" ht="60" x14ac:dyDescent="0.25">
      <c r="A63" s="5"/>
      <c r="B63" s="4" t="s">
        <v>76</v>
      </c>
      <c r="C63" s="4" t="s">
        <v>75</v>
      </c>
      <c r="D63" s="8" t="s">
        <v>3</v>
      </c>
      <c r="E63" s="8" t="s">
        <v>1</v>
      </c>
      <c r="F63" s="8" t="s">
        <v>1</v>
      </c>
      <c r="G63" s="8" t="s">
        <v>1</v>
      </c>
      <c r="H63" s="8" t="s">
        <v>1</v>
      </c>
      <c r="I63" s="8" t="s">
        <v>3</v>
      </c>
      <c r="J63" s="8" t="s">
        <v>1</v>
      </c>
      <c r="K63" s="1">
        <f>IFERROR(
( COUNTIF(D63:J63,"S") + 0.5*COUNTIF(D63:J63,"C") )
/
( COUNTIF(D63:J63,"S") + COUNTIF(D63:J63,"C") + COUNTIF(D63:J63,"N") )
*100,0)</f>
        <v>100</v>
      </c>
      <c r="L63" s="1">
        <f>COUNTIF(D63:J63,"S")</f>
        <v>5</v>
      </c>
      <c r="M63" s="1">
        <f>COUNTIF(D63:J63,"C")</f>
        <v>0</v>
      </c>
      <c r="N63" s="1">
        <f>COUNTIF(D63:J63,"N")</f>
        <v>0</v>
      </c>
      <c r="P63" s="1" t="str">
        <f>_xlfn.LET(
_xlpm.col,D62:D63,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Q63" s="1" t="str">
        <f>_xlfn.LET(
_xlpm.col,E62:E63,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63" s="1" t="str">
        <f>_xlfn.LET(
_xlpm.col,F62:F63,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63" s="1" t="str">
        <f>_xlfn.LET(
_xlpm.col,G62:G63,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63" s="1" t="str">
        <f>_xlfn.LET(
_xlpm.col,H62:H63,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63" s="1" t="str">
        <f>_xlfn.LET(
_xlpm.col,I62:I63,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V63" s="1" t="str">
        <f>_xlfn.LET(
_xlpm.col,J62:J63,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W63" s="2">
        <f>IFERROR(
( COUNTIF(D62:J63,"S") + 0.5*COUNTIF(D62:J63,"C") )
/
( COUNTIF(D62:J63,"S") + COUNTIF(D62:J63,"C") + COUNTIF(D62:J63,"N") )
*100,0)</f>
        <v>90</v>
      </c>
    </row>
    <row r="64" spans="1:23" ht="45" x14ac:dyDescent="0.25">
      <c r="A64" s="5" t="s">
        <v>71</v>
      </c>
      <c r="B64" s="4" t="s">
        <v>16</v>
      </c>
      <c r="C64" s="4" t="s">
        <v>70</v>
      </c>
      <c r="D64" s="8" t="s">
        <v>1</v>
      </c>
      <c r="E64" s="8" t="s">
        <v>4</v>
      </c>
      <c r="F64" s="8" t="s">
        <v>1</v>
      </c>
      <c r="G64" s="8" t="s">
        <v>1</v>
      </c>
      <c r="H64" s="8" t="s">
        <v>4</v>
      </c>
      <c r="I64" s="8" t="s">
        <v>3</v>
      </c>
      <c r="J64" s="8" t="s">
        <v>2</v>
      </c>
      <c r="K64" s="1">
        <f>IFERROR(
( COUNTIF(D64:J64,"S") + 0.5*COUNTIF(D64:J64,"C") )
/
( COUNTIF(D64:J64,"S") + COUNTIF(D64:J64,"C") + COUNTIF(D64:J64,"N") )
*100,0)</f>
        <v>66.666666666666657</v>
      </c>
      <c r="L64" s="1">
        <f>COUNTIF(D64:J64,"S")</f>
        <v>3</v>
      </c>
      <c r="M64" s="1">
        <f>COUNTIF(D64:J64,"C")</f>
        <v>2</v>
      </c>
      <c r="N64" s="1">
        <f>COUNTIF(D64:J64,"N")</f>
        <v>1</v>
      </c>
    </row>
    <row r="65" spans="1:23" ht="60" x14ac:dyDescent="0.25">
      <c r="A65" s="5"/>
      <c r="B65" s="4" t="s">
        <v>14</v>
      </c>
      <c r="C65" s="4" t="s">
        <v>69</v>
      </c>
      <c r="D65" s="8" t="s">
        <v>1</v>
      </c>
      <c r="E65" s="8" t="s">
        <v>4</v>
      </c>
      <c r="F65" s="8" t="s">
        <v>1</v>
      </c>
      <c r="G65" s="8" t="s">
        <v>1</v>
      </c>
      <c r="H65" s="8" t="s">
        <v>1</v>
      </c>
      <c r="I65" s="8" t="s">
        <v>3</v>
      </c>
      <c r="J65" s="8" t="s">
        <v>1</v>
      </c>
      <c r="K65" s="1">
        <f>IFERROR(
( COUNTIF(D65:J65,"S") + 0.5*COUNTIF(D65:J65,"C") )
/
( COUNTIF(D65:J65,"S") + COUNTIF(D65:J65,"C") + COUNTIF(D65:J65,"N") )
*100,0)</f>
        <v>91.666666666666657</v>
      </c>
      <c r="L65" s="1">
        <f>COUNTIF(D65:J65,"S")</f>
        <v>5</v>
      </c>
      <c r="M65" s="1">
        <f>COUNTIF(D65:J65,"C")</f>
        <v>1</v>
      </c>
      <c r="N65" s="1">
        <f>COUNTIF(D65:J65,"N")</f>
        <v>0</v>
      </c>
    </row>
    <row r="66" spans="1:23" ht="45" x14ac:dyDescent="0.25">
      <c r="A66" s="5"/>
      <c r="B66" s="4" t="s">
        <v>12</v>
      </c>
      <c r="C66" s="4" t="s">
        <v>68</v>
      </c>
      <c r="D66" s="8" t="s">
        <v>1</v>
      </c>
      <c r="E66" s="8" t="s">
        <v>4</v>
      </c>
      <c r="F66" s="8" t="s">
        <v>1</v>
      </c>
      <c r="G66" s="8" t="s">
        <v>1</v>
      </c>
      <c r="H66" s="8" t="s">
        <v>4</v>
      </c>
      <c r="I66" s="8" t="s">
        <v>3</v>
      </c>
      <c r="J66" s="8" t="s">
        <v>4</v>
      </c>
      <c r="K66" s="1">
        <f>IFERROR(
( COUNTIF(D66:J66,"S") + 0.5*COUNTIF(D66:J66,"C") )
/
( COUNTIF(D66:J66,"S") + COUNTIF(D66:J66,"C") + COUNTIF(D66:J66,"N") )
*100,0)</f>
        <v>75</v>
      </c>
      <c r="L66" s="1">
        <f>COUNTIF(D66:J66,"S")</f>
        <v>3</v>
      </c>
      <c r="M66" s="1">
        <f>COUNTIF(D66:J66,"C")</f>
        <v>3</v>
      </c>
      <c r="N66" s="1">
        <f>COUNTIF(D66:J66,"N")</f>
        <v>0</v>
      </c>
    </row>
    <row r="67" spans="1:23" ht="45" x14ac:dyDescent="0.25">
      <c r="A67" s="5"/>
      <c r="B67" s="4" t="s">
        <v>11</v>
      </c>
      <c r="C67" s="4" t="s">
        <v>67</v>
      </c>
      <c r="D67" s="8" t="s">
        <v>1</v>
      </c>
      <c r="E67" s="8" t="s">
        <v>1</v>
      </c>
      <c r="F67" s="8" t="s">
        <v>1</v>
      </c>
      <c r="G67" s="8" t="s">
        <v>1</v>
      </c>
      <c r="H67" s="8" t="s">
        <v>1</v>
      </c>
      <c r="I67" s="8" t="s">
        <v>3</v>
      </c>
      <c r="J67" s="8" t="s">
        <v>1</v>
      </c>
      <c r="K67" s="1">
        <f>IFERROR(
( COUNTIF(D67:J67,"S") + 0.5*COUNTIF(D67:J67,"C") )
/
( COUNTIF(D67:J67,"S") + COUNTIF(D67:J67,"C") + COUNTIF(D67:J67,"N") )
*100,0)</f>
        <v>100</v>
      </c>
      <c r="L67" s="1">
        <f>COUNTIF(D67:J67,"S")</f>
        <v>6</v>
      </c>
      <c r="M67" s="1">
        <f>COUNTIF(D67:J67,"C")</f>
        <v>0</v>
      </c>
      <c r="N67" s="1">
        <f>COUNTIF(D67:J67,"N")</f>
        <v>0</v>
      </c>
    </row>
    <row r="68" spans="1:23" ht="60" x14ac:dyDescent="0.25">
      <c r="A68" s="5"/>
      <c r="B68" s="4" t="s">
        <v>9</v>
      </c>
      <c r="C68" s="4" t="s">
        <v>66</v>
      </c>
      <c r="D68" s="8" t="s">
        <v>1</v>
      </c>
      <c r="E68" s="8" t="s">
        <v>4</v>
      </c>
      <c r="F68" s="8" t="s">
        <v>1</v>
      </c>
      <c r="G68" s="8" t="s">
        <v>1</v>
      </c>
      <c r="H68" s="8" t="s">
        <v>2</v>
      </c>
      <c r="I68" s="8" t="s">
        <v>3</v>
      </c>
      <c r="J68" s="8" t="s">
        <v>4</v>
      </c>
      <c r="K68" s="1">
        <f>IFERROR(
( COUNTIF(D68:J68,"S") + 0.5*COUNTIF(D68:J68,"C") )
/
( COUNTIF(D68:J68,"S") + COUNTIF(D68:J68,"C") + COUNTIF(D68:J68,"N") )
*100,0)</f>
        <v>66.666666666666657</v>
      </c>
      <c r="L68" s="1">
        <f>COUNTIF(D68:J68,"S")</f>
        <v>3</v>
      </c>
      <c r="M68" s="1">
        <f>COUNTIF(D68:J68,"C")</f>
        <v>2</v>
      </c>
      <c r="N68" s="1">
        <f>COUNTIF(D68:J68,"N")</f>
        <v>1</v>
      </c>
    </row>
    <row r="69" spans="1:23" ht="45" x14ac:dyDescent="0.25">
      <c r="A69" s="5"/>
      <c r="B69" s="4" t="s">
        <v>7</v>
      </c>
      <c r="C69" s="4" t="s">
        <v>65</v>
      </c>
      <c r="D69" s="8" t="s">
        <v>1</v>
      </c>
      <c r="E69" s="8" t="s">
        <v>4</v>
      </c>
      <c r="F69" s="8" t="s">
        <v>1</v>
      </c>
      <c r="G69" s="8" t="s">
        <v>1</v>
      </c>
      <c r="H69" s="8" t="s">
        <v>4</v>
      </c>
      <c r="I69" s="8" t="s">
        <v>3</v>
      </c>
      <c r="J69" s="8" t="s">
        <v>4</v>
      </c>
      <c r="K69" s="1">
        <f>IFERROR(
( COUNTIF(D69:J69,"S") + 0.5*COUNTIF(D69:J69,"C") )
/
( COUNTIF(D69:J69,"S") + COUNTIF(D69:J69,"C") + COUNTIF(D69:J69,"N") )
*100,0)</f>
        <v>75</v>
      </c>
      <c r="L69" s="1">
        <f>COUNTIF(D69:J69,"S")</f>
        <v>3</v>
      </c>
      <c r="M69" s="1">
        <f>COUNTIF(D69:J69,"C")</f>
        <v>3</v>
      </c>
      <c r="N69" s="1">
        <f>COUNTIF(D69:J69,"N")</f>
        <v>0</v>
      </c>
    </row>
    <row r="70" spans="1:23" ht="60" x14ac:dyDescent="0.25">
      <c r="A70" s="5"/>
      <c r="B70" s="4" t="s">
        <v>6</v>
      </c>
      <c r="C70" s="4" t="s">
        <v>64</v>
      </c>
      <c r="D70" s="8" t="s">
        <v>1</v>
      </c>
      <c r="E70" s="8" t="s">
        <v>4</v>
      </c>
      <c r="F70" s="8" t="s">
        <v>1</v>
      </c>
      <c r="G70" s="8" t="s">
        <v>1</v>
      </c>
      <c r="H70" s="8" t="s">
        <v>2</v>
      </c>
      <c r="I70" s="8" t="s">
        <v>3</v>
      </c>
      <c r="J70" s="8" t="s">
        <v>2</v>
      </c>
      <c r="K70" s="1">
        <f>IFERROR(
( COUNTIF(D70:J70,"S") + 0.5*COUNTIF(D70:J70,"C") )
/
( COUNTIF(D70:J70,"S") + COUNTIF(D70:J70,"C") + COUNTIF(D70:J70,"N") )
*100,0)</f>
        <v>58.333333333333336</v>
      </c>
      <c r="L70" s="1">
        <f>COUNTIF(D70:J70,"S")</f>
        <v>3</v>
      </c>
      <c r="M70" s="1">
        <f>COUNTIF(D70:J70,"C")</f>
        <v>1</v>
      </c>
      <c r="N70" s="1">
        <f>COUNTIF(D70:J70,"N")</f>
        <v>2</v>
      </c>
      <c r="P70" s="1" t="str">
        <f>_xlfn.LET(
_xlpm.col,D64:D70,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70" s="1" t="str">
        <f>_xlfn.LET(
_xlpm.col,E64:E70,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R70" s="1" t="str">
        <f>_xlfn.LET(
_xlpm.col,F64:F70,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70" s="1" t="str">
        <f>_xlfn.LET(
_xlpm.col,G64:G70,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70" s="1" t="str">
        <f>_xlfn.LET(
_xlpm.col,H64:H70,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U70" s="1" t="str">
        <f>_xlfn.LET(
_xlpm.col,I64:I70,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V70" s="1" t="str">
        <f>_xlfn.LET(
_xlpm.col,J64:J70,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W70" s="2">
        <f>IFERROR(
( COUNTIF(D64:J70,"S") + 0.5*COUNTIF(D64:J70,"C") )
/
( COUNTIF(D64:J70,"S") + COUNTIF(D64:J70,"C") + COUNTIF(D64:J70,"N") )
*100,0)</f>
        <v>76.19047619047619</v>
      </c>
    </row>
    <row r="71" spans="1:23" ht="60" x14ac:dyDescent="0.25">
      <c r="A71" s="10" t="s">
        <v>63</v>
      </c>
      <c r="B71" s="4" t="s">
        <v>189</v>
      </c>
      <c r="C71" s="4" t="s">
        <v>74</v>
      </c>
      <c r="D71" s="8" t="s">
        <v>3</v>
      </c>
      <c r="E71" s="8" t="s">
        <v>2</v>
      </c>
      <c r="F71" s="8" t="s">
        <v>1</v>
      </c>
      <c r="G71" s="8" t="s">
        <v>1</v>
      </c>
      <c r="H71" s="8" t="s">
        <v>1</v>
      </c>
      <c r="I71" s="8" t="s">
        <v>3</v>
      </c>
      <c r="J71" s="8" t="s">
        <v>1</v>
      </c>
      <c r="K71" s="1">
        <f>IFERROR(
( COUNTIF(D71:J71,"S") + 0.5*COUNTIF(D71:J71,"C") )
/
( COUNTIF(D71:J71,"S") + COUNTIF(D71:J71,"C") + COUNTIF(D71:J71,"N") )
*100,0)</f>
        <v>80</v>
      </c>
      <c r="L71" s="1">
        <f>COUNTIF(D71:J71,"S")</f>
        <v>4</v>
      </c>
      <c r="M71" s="1">
        <f>COUNTIF(D71:J71,"C")</f>
        <v>0</v>
      </c>
      <c r="N71" s="1">
        <f>COUNTIF(D71:J71,"N")</f>
        <v>1</v>
      </c>
    </row>
    <row r="72" spans="1:23" ht="60" x14ac:dyDescent="0.25">
      <c r="A72" s="10"/>
      <c r="B72" s="4" t="s">
        <v>190</v>
      </c>
      <c r="C72" s="4" t="s">
        <v>73</v>
      </c>
      <c r="D72" s="8" t="s">
        <v>3</v>
      </c>
      <c r="E72" s="8" t="s">
        <v>2</v>
      </c>
      <c r="F72" s="8" t="s">
        <v>1</v>
      </c>
      <c r="G72" s="8" t="s">
        <v>1</v>
      </c>
      <c r="H72" s="8" t="s">
        <v>1</v>
      </c>
      <c r="I72" s="8" t="s">
        <v>3</v>
      </c>
      <c r="J72" s="8" t="s">
        <v>1</v>
      </c>
      <c r="K72" s="1">
        <f>IFERROR(
( COUNTIF(D72:J72,"S") + 0.5*COUNTIF(D72:J72,"C") )
/
( COUNTIF(D72:J72,"S") + COUNTIF(D72:J72,"C") + COUNTIF(D72:J72,"N") )
*100,0)</f>
        <v>80</v>
      </c>
      <c r="L72" s="1">
        <f>COUNTIF(D72:J72,"S")</f>
        <v>4</v>
      </c>
      <c r="M72" s="1">
        <f>COUNTIF(D72:J72,"C")</f>
        <v>0</v>
      </c>
      <c r="N72" s="1">
        <f>COUNTIF(D72:J72,"N")</f>
        <v>1</v>
      </c>
    </row>
    <row r="73" spans="1:23" ht="45" x14ac:dyDescent="0.25">
      <c r="A73" s="10"/>
      <c r="B73" s="4" t="s">
        <v>191</v>
      </c>
      <c r="C73" s="4" t="s">
        <v>72</v>
      </c>
      <c r="D73" s="8" t="s">
        <v>3</v>
      </c>
      <c r="E73" s="8" t="s">
        <v>2</v>
      </c>
      <c r="F73" s="8" t="s">
        <v>1</v>
      </c>
      <c r="G73" s="8" t="s">
        <v>1</v>
      </c>
      <c r="H73" s="8" t="s">
        <v>1</v>
      </c>
      <c r="I73" s="8" t="s">
        <v>3</v>
      </c>
      <c r="J73" s="8" t="s">
        <v>2</v>
      </c>
      <c r="K73" s="1">
        <f>IFERROR(
( COUNTIF(D73:J73,"S") + 0.5*COUNTIF(D73:J73,"C") )
/
( COUNTIF(D73:J73,"S") + COUNTIF(D73:J73,"C") + COUNTIF(D73:J73,"N") )
*100,0)</f>
        <v>60</v>
      </c>
      <c r="L73" s="1">
        <f>COUNTIF(D73:J73,"S")</f>
        <v>3</v>
      </c>
      <c r="M73" s="1">
        <f>COUNTIF(D73:J73,"C")</f>
        <v>0</v>
      </c>
      <c r="N73" s="1">
        <f>COUNTIF(D73:J73,"N")</f>
        <v>2</v>
      </c>
      <c r="W73" s="12"/>
    </row>
    <row r="74" spans="1:23" ht="63" x14ac:dyDescent="0.25">
      <c r="A74" s="10"/>
      <c r="B74" s="9" t="s">
        <v>12</v>
      </c>
      <c r="C74" s="9" t="s">
        <v>62</v>
      </c>
      <c r="D74" s="8" t="s">
        <v>3</v>
      </c>
      <c r="E74" s="8" t="s">
        <v>2</v>
      </c>
      <c r="F74" s="8" t="s">
        <v>1</v>
      </c>
      <c r="G74" s="8" t="s">
        <v>1</v>
      </c>
      <c r="H74" s="8" t="s">
        <v>1</v>
      </c>
      <c r="I74" s="8" t="s">
        <v>3</v>
      </c>
      <c r="J74" s="8" t="s">
        <v>1</v>
      </c>
      <c r="K74" s="1">
        <f>IFERROR(
( COUNTIF(D74:J74,"S") + 0.5*COUNTIF(D74:J74,"C") )
/
( COUNTIF(D74:J74,"S") + COUNTIF(D74:J74,"C") + COUNTIF(D74:J74,"N") )
*100,0)</f>
        <v>80</v>
      </c>
      <c r="L74" s="1">
        <f>COUNTIF(D74:J74,"S")</f>
        <v>4</v>
      </c>
      <c r="M74" s="1">
        <f>COUNTIF(D74:J74,"C")</f>
        <v>0</v>
      </c>
      <c r="N74" s="1">
        <f>COUNTIF(D74:J74,"N")</f>
        <v>1</v>
      </c>
    </row>
    <row r="75" spans="1:23" ht="63" x14ac:dyDescent="0.25">
      <c r="A75" s="10"/>
      <c r="B75" s="9" t="s">
        <v>11</v>
      </c>
      <c r="C75" s="9" t="s">
        <v>61</v>
      </c>
      <c r="D75" s="8" t="s">
        <v>1</v>
      </c>
      <c r="E75" s="8" t="s">
        <v>2</v>
      </c>
      <c r="F75" s="8" t="s">
        <v>1</v>
      </c>
      <c r="G75" s="8" t="s">
        <v>1</v>
      </c>
      <c r="H75" s="8" t="s">
        <v>1</v>
      </c>
      <c r="I75" s="8" t="s">
        <v>3</v>
      </c>
      <c r="J75" s="8" t="s">
        <v>1</v>
      </c>
      <c r="K75" s="1">
        <f>IFERROR(
( COUNTIF(D75:J75,"S") + 0.5*COUNTIF(D75:J75,"C") )
/
( COUNTIF(D75:J75,"S") + COUNTIF(D75:J75,"C") + COUNTIF(D75:J75,"N") )
*100,0)</f>
        <v>83.333333333333343</v>
      </c>
      <c r="L75" s="1">
        <f>COUNTIF(D75:J75,"S")</f>
        <v>5</v>
      </c>
      <c r="M75" s="1">
        <f>COUNTIF(D75:J75,"C")</f>
        <v>0</v>
      </c>
      <c r="N75" s="1">
        <f>COUNTIF(D75:J75,"N")</f>
        <v>1</v>
      </c>
    </row>
    <row r="76" spans="1:23" ht="63" x14ac:dyDescent="0.25">
      <c r="A76" s="10"/>
      <c r="B76" s="9" t="s">
        <v>9</v>
      </c>
      <c r="C76" s="9" t="s">
        <v>60</v>
      </c>
      <c r="D76" s="8" t="s">
        <v>3</v>
      </c>
      <c r="E76" s="8" t="s">
        <v>2</v>
      </c>
      <c r="F76" s="8" t="s">
        <v>1</v>
      </c>
      <c r="G76" s="8" t="s">
        <v>1</v>
      </c>
      <c r="H76" s="8" t="s">
        <v>1</v>
      </c>
      <c r="I76" s="8" t="s">
        <v>3</v>
      </c>
      <c r="J76" s="8" t="s">
        <v>1</v>
      </c>
      <c r="K76" s="1">
        <f>IFERROR(
( COUNTIF(D76:J76,"S") + 0.5*COUNTIF(D76:J76,"C") )
/
( COUNTIF(D76:J76,"S") + COUNTIF(D76:J76,"C") + COUNTIF(D76:J76,"N") )
*100,0)</f>
        <v>80</v>
      </c>
      <c r="L76" s="1">
        <f>COUNTIF(D76:J76,"S")</f>
        <v>4</v>
      </c>
      <c r="M76" s="1">
        <f>COUNTIF(D76:J76,"C")</f>
        <v>0</v>
      </c>
      <c r="N76" s="1">
        <f>COUNTIF(D76:J76,"N")</f>
        <v>1</v>
      </c>
    </row>
    <row r="77" spans="1:23" ht="63" x14ac:dyDescent="0.25">
      <c r="A77" s="19"/>
      <c r="B77" s="9" t="s">
        <v>7</v>
      </c>
      <c r="C77" s="9" t="s">
        <v>59</v>
      </c>
      <c r="D77" s="8" t="s">
        <v>1</v>
      </c>
      <c r="E77" s="8" t="s">
        <v>2</v>
      </c>
      <c r="F77" s="8" t="s">
        <v>1</v>
      </c>
      <c r="G77" s="8" t="s">
        <v>1</v>
      </c>
      <c r="H77" s="8" t="s">
        <v>1</v>
      </c>
      <c r="I77" s="8" t="s">
        <v>3</v>
      </c>
      <c r="J77" s="8" t="s">
        <v>4</v>
      </c>
      <c r="K77" s="1">
        <f>IFERROR(
( COUNTIF(D77:J77,"S") + 0.5*COUNTIF(D77:J77,"C") )
/
( COUNTIF(D77:J77,"S") + COUNTIF(D77:J77,"C") + COUNTIF(D77:J77,"N") )
*100,0)</f>
        <v>75</v>
      </c>
      <c r="L77" s="1">
        <f>COUNTIF(D77:J77,"S")</f>
        <v>4</v>
      </c>
      <c r="M77" s="1">
        <f>COUNTIF(D77:J77,"C")</f>
        <v>1</v>
      </c>
      <c r="N77" s="1">
        <f>COUNTIF(D77:J77,"N")</f>
        <v>1</v>
      </c>
      <c r="P77" s="1" t="str">
        <f>_xlfn.LET(
_xlpm.col,D71:D77,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Q77" s="1" t="str">
        <f>_xlfn.LET(
_xlpm.col,E71:E77,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R77" s="1" t="str">
        <f t="shared" ref="Q77:V77" si="0">_xlfn.LET(
_xlpm.col,F71:F77,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S77" s="1" t="str">
        <f t="shared" si="0"/>
        <v>S</v>
      </c>
      <c r="T77" s="1" t="str">
        <f t="shared" si="0"/>
        <v>S</v>
      </c>
      <c r="U77" s="1" t="str">
        <f t="shared" si="0"/>
        <v>N/A</v>
      </c>
      <c r="V77" s="1" t="str">
        <f t="shared" si="0"/>
        <v>S</v>
      </c>
      <c r="W77" s="2">
        <f>IFERROR(
( COUNTIF(D71:J77,"S") + 0.5*COUNTIF(D71:J77,"C") )
/
( COUNTIF(D71:J77,"S") + COUNTIF(D71:J77,"C") + COUNTIF(D71:J77,"N") )
*100,0)</f>
        <v>77.027027027027032</v>
      </c>
    </row>
    <row r="78" spans="1:23" ht="15.75" x14ac:dyDescent="0.25">
      <c r="A78" s="7" t="s">
        <v>58</v>
      </c>
      <c r="B78" s="6" t="s">
        <v>57</v>
      </c>
      <c r="C78" s="6" t="s">
        <v>56</v>
      </c>
      <c r="D78" s="3"/>
      <c r="E78" s="3"/>
      <c r="F78" s="3"/>
      <c r="G78" s="3"/>
      <c r="H78" s="3"/>
      <c r="I78" s="3"/>
      <c r="J78" s="3"/>
    </row>
    <row r="79" spans="1:23" ht="45" x14ac:dyDescent="0.25">
      <c r="A79" s="5" t="s">
        <v>55</v>
      </c>
      <c r="B79" s="4" t="s">
        <v>18</v>
      </c>
      <c r="C79" s="4" t="s">
        <v>54</v>
      </c>
      <c r="D79" s="3" t="s">
        <v>1</v>
      </c>
      <c r="E79" s="3" t="s">
        <v>1</v>
      </c>
      <c r="F79" s="3" t="s">
        <v>3</v>
      </c>
      <c r="G79" s="3" t="s">
        <v>1</v>
      </c>
      <c r="H79" s="3" t="s">
        <v>1</v>
      </c>
      <c r="I79" s="3" t="s">
        <v>1</v>
      </c>
      <c r="J79" s="3" t="s">
        <v>2</v>
      </c>
      <c r="K79" s="1">
        <f>IFERROR(
( COUNTIF(D79:J79,"S") + 0.5*COUNTIF(D79:J79,"C") )
/
( COUNTIF(D79:J79,"S") + COUNTIF(D79:J79,"C") + COUNTIF(D79:J79,"N") )
*100,0)</f>
        <v>83.333333333333343</v>
      </c>
      <c r="L79" s="1">
        <f>COUNTIF(D79:J79,"S")</f>
        <v>5</v>
      </c>
      <c r="M79" s="1">
        <f>COUNTIF(D79:J79,"C")</f>
        <v>0</v>
      </c>
      <c r="N79" s="1">
        <f>COUNTIF(D79:J79,"N")</f>
        <v>1</v>
      </c>
    </row>
    <row r="80" spans="1:23" ht="45" x14ac:dyDescent="0.25">
      <c r="A80" s="5"/>
      <c r="B80" s="4" t="s">
        <v>16</v>
      </c>
      <c r="C80" s="4" t="s">
        <v>53</v>
      </c>
      <c r="D80" s="3" t="s">
        <v>4</v>
      </c>
      <c r="E80" s="3" t="s">
        <v>1</v>
      </c>
      <c r="F80" s="3" t="s">
        <v>3</v>
      </c>
      <c r="G80" s="3" t="s">
        <v>1</v>
      </c>
      <c r="H80" s="3" t="s">
        <v>1</v>
      </c>
      <c r="I80" s="3" t="s">
        <v>1</v>
      </c>
      <c r="J80" s="3" t="s">
        <v>2</v>
      </c>
      <c r="K80" s="1">
        <f>IFERROR(
( COUNTIF(D80:J80,"S") + 0.5*COUNTIF(D80:J80,"C") )
/
( COUNTIF(D80:J80,"S") + COUNTIF(D80:J80,"C") + COUNTIF(D80:J80,"N") )
*100,0)</f>
        <v>75</v>
      </c>
      <c r="L80" s="1">
        <f>COUNTIF(D80:J80,"S")</f>
        <v>4</v>
      </c>
      <c r="M80" s="1">
        <f>COUNTIF(D80:J80,"C")</f>
        <v>1</v>
      </c>
      <c r="N80" s="1">
        <f>COUNTIF(D80:J80,"N")</f>
        <v>1</v>
      </c>
    </row>
    <row r="81" spans="1:23" ht="45" x14ac:dyDescent="0.25">
      <c r="A81" s="5"/>
      <c r="B81" s="4" t="s">
        <v>14</v>
      </c>
      <c r="C81" s="4" t="s">
        <v>52</v>
      </c>
      <c r="D81" s="3" t="s">
        <v>1</v>
      </c>
      <c r="E81" s="3" t="s">
        <v>1</v>
      </c>
      <c r="F81" s="3" t="s">
        <v>3</v>
      </c>
      <c r="G81" s="3" t="s">
        <v>1</v>
      </c>
      <c r="H81" s="3" t="s">
        <v>1</v>
      </c>
      <c r="I81" s="3" t="s">
        <v>1</v>
      </c>
      <c r="J81" s="3" t="s">
        <v>1</v>
      </c>
      <c r="K81" s="1">
        <f>IFERROR(
( COUNTIF(D81:J81,"S") + 0.5*COUNTIF(D81:J81,"C") )
/
( COUNTIF(D81:J81,"S") + COUNTIF(D81:J81,"C") + COUNTIF(D81:J81,"N") )
*100,0)</f>
        <v>100</v>
      </c>
      <c r="L81" s="1">
        <f>COUNTIF(D81:J81,"S")</f>
        <v>6</v>
      </c>
      <c r="M81" s="1">
        <f>COUNTIF(D81:J81,"C")</f>
        <v>0</v>
      </c>
      <c r="N81" s="1">
        <f>COUNTIF(D81:J81,"N")</f>
        <v>0</v>
      </c>
    </row>
    <row r="82" spans="1:23" ht="30" x14ac:dyDescent="0.25">
      <c r="A82" s="5"/>
      <c r="B82" s="4" t="s">
        <v>12</v>
      </c>
      <c r="C82" s="4" t="s">
        <v>51</v>
      </c>
      <c r="D82" s="3" t="s">
        <v>1</v>
      </c>
      <c r="E82" s="3" t="s">
        <v>1</v>
      </c>
      <c r="F82" s="3" t="s">
        <v>3</v>
      </c>
      <c r="G82" s="3" t="s">
        <v>1</v>
      </c>
      <c r="H82" s="3" t="s">
        <v>4</v>
      </c>
      <c r="I82" s="3" t="s">
        <v>1</v>
      </c>
      <c r="J82" s="3" t="s">
        <v>4</v>
      </c>
      <c r="K82" s="1">
        <f>IFERROR(
( COUNTIF(D82:J82,"S") + 0.5*COUNTIF(D82:J82,"C") )
/
( COUNTIF(D82:J82,"S") + COUNTIF(D82:J82,"C") + COUNTIF(D82:J82,"N") )
*100,0)</f>
        <v>83.333333333333343</v>
      </c>
      <c r="L82" s="1">
        <f>COUNTIF(D82:J82,"S")</f>
        <v>4</v>
      </c>
      <c r="M82" s="1">
        <f>COUNTIF(D82:J82,"C")</f>
        <v>2</v>
      </c>
      <c r="N82" s="1">
        <f>COUNTIF(D82:J82,"N")</f>
        <v>0</v>
      </c>
    </row>
    <row r="83" spans="1:23" ht="45" x14ac:dyDescent="0.25">
      <c r="A83" s="5"/>
      <c r="B83" s="4" t="s">
        <v>11</v>
      </c>
      <c r="C83" s="4" t="s">
        <v>50</v>
      </c>
      <c r="D83" s="3" t="s">
        <v>1</v>
      </c>
      <c r="E83" s="3" t="s">
        <v>1</v>
      </c>
      <c r="F83" s="3" t="s">
        <v>3</v>
      </c>
      <c r="G83" s="3" t="s">
        <v>1</v>
      </c>
      <c r="H83" s="3" t="s">
        <v>1</v>
      </c>
      <c r="I83" s="3" t="s">
        <v>1</v>
      </c>
      <c r="J83" s="3" t="s">
        <v>1</v>
      </c>
      <c r="K83" s="1">
        <f>IFERROR(
( COUNTIF(D83:J83,"S") + 0.5*COUNTIF(D83:J83,"C") )
/
( COUNTIF(D83:J83,"S") + COUNTIF(D83:J83,"C") + COUNTIF(D83:J83,"N") )
*100,0)</f>
        <v>100</v>
      </c>
      <c r="L83" s="1">
        <f>COUNTIF(D83:J83,"S")</f>
        <v>6</v>
      </c>
      <c r="M83" s="1">
        <f>COUNTIF(D83:J83,"C")</f>
        <v>0</v>
      </c>
      <c r="N83" s="1">
        <f>COUNTIF(D83:J83,"N")</f>
        <v>0</v>
      </c>
    </row>
    <row r="84" spans="1:23" ht="30" x14ac:dyDescent="0.25">
      <c r="A84" s="5"/>
      <c r="B84" s="4" t="s">
        <v>9</v>
      </c>
      <c r="C84" s="4" t="s">
        <v>49</v>
      </c>
      <c r="D84" s="3" t="s">
        <v>1</v>
      </c>
      <c r="E84" s="3" t="s">
        <v>1</v>
      </c>
      <c r="F84" s="3" t="s">
        <v>3</v>
      </c>
      <c r="G84" s="3" t="s">
        <v>1</v>
      </c>
      <c r="H84" s="3" t="s">
        <v>2</v>
      </c>
      <c r="I84" s="3" t="s">
        <v>4</v>
      </c>
      <c r="J84" s="3" t="s">
        <v>2</v>
      </c>
      <c r="K84" s="1">
        <f>IFERROR(
( COUNTIF(D84:J84,"S") + 0.5*COUNTIF(D84:J84,"C") )
/
( COUNTIF(D84:J84,"S") + COUNTIF(D84:J84,"C") + COUNTIF(D84:J84,"N") )
*100,0)</f>
        <v>58.333333333333336</v>
      </c>
      <c r="L84" s="1">
        <f>COUNTIF(D84:J84,"S")</f>
        <v>3</v>
      </c>
      <c r="M84" s="1">
        <f>COUNTIF(D84:J84,"C")</f>
        <v>1</v>
      </c>
      <c r="N84" s="1">
        <f>COUNTIF(D84:J84,"N")</f>
        <v>2</v>
      </c>
    </row>
    <row r="85" spans="1:23" ht="30" x14ac:dyDescent="0.25">
      <c r="A85" s="5"/>
      <c r="B85" s="4" t="s">
        <v>7</v>
      </c>
      <c r="C85" s="4" t="s">
        <v>48</v>
      </c>
      <c r="D85" s="3" t="s">
        <v>1</v>
      </c>
      <c r="E85" s="3" t="s">
        <v>1</v>
      </c>
      <c r="F85" s="3" t="s">
        <v>3</v>
      </c>
      <c r="G85" s="3" t="s">
        <v>1</v>
      </c>
      <c r="H85" s="3" t="s">
        <v>1</v>
      </c>
      <c r="I85" s="3" t="s">
        <v>1</v>
      </c>
      <c r="J85" s="3" t="s">
        <v>2</v>
      </c>
      <c r="K85" s="1">
        <f>IFERROR(
( COUNTIF(D85:J85,"S") + 0.5*COUNTIF(D85:J85,"C") )
/
( COUNTIF(D85:J85,"S") + COUNTIF(D85:J85,"C") + COUNTIF(D85:J85,"N") )
*100,0)</f>
        <v>83.333333333333343</v>
      </c>
      <c r="L85" s="1">
        <f>COUNTIF(D85:J85,"S")</f>
        <v>5</v>
      </c>
      <c r="M85" s="1">
        <f>COUNTIF(D85:J85,"C")</f>
        <v>0</v>
      </c>
      <c r="N85" s="1">
        <f>COUNTIF(D85:J85,"N")</f>
        <v>1</v>
      </c>
    </row>
    <row r="86" spans="1:23" ht="45" x14ac:dyDescent="0.25">
      <c r="A86" s="5"/>
      <c r="B86" s="4" t="s">
        <v>6</v>
      </c>
      <c r="C86" s="4" t="s">
        <v>47</v>
      </c>
      <c r="D86" s="3" t="s">
        <v>1</v>
      </c>
      <c r="E86" s="3" t="s">
        <v>1</v>
      </c>
      <c r="F86" s="3" t="s">
        <v>3</v>
      </c>
      <c r="G86" s="3" t="s">
        <v>1</v>
      </c>
      <c r="H86" s="3" t="s">
        <v>2</v>
      </c>
      <c r="I86" s="3" t="s">
        <v>1</v>
      </c>
      <c r="J86" s="3" t="s">
        <v>2</v>
      </c>
      <c r="K86" s="1">
        <f>IFERROR(
( COUNTIF(D86:J86,"S") + 0.5*COUNTIF(D86:J86,"C") )
/
( COUNTIF(D86:J86,"S") + COUNTIF(D86:J86,"C") + COUNTIF(D86:J86,"N") )
*100,0)</f>
        <v>66.666666666666657</v>
      </c>
      <c r="L86" s="1">
        <f>COUNTIF(D86:J86,"S")</f>
        <v>4</v>
      </c>
      <c r="M86" s="1">
        <f>COUNTIF(D86:J86,"C")</f>
        <v>0</v>
      </c>
      <c r="N86" s="1">
        <f>COUNTIF(D86:J86,"N")</f>
        <v>2</v>
      </c>
      <c r="P86" s="1" t="str">
        <f>_xlfn.LET(
_xlpm.col,D79:D86,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86" s="1" t="str">
        <f>_xlfn.LET(
_xlpm.col,E79:E86,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86" s="1" t="str">
        <f>_xlfn.LET(
_xlpm.col,F79:F86,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86" s="1" t="str">
        <f>_xlfn.LET(
_xlpm.col,G79:G86,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86" s="1" t="str">
        <f>_xlfn.LET(
_xlpm.col,H79:H86,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86" s="1" t="str">
        <f>_xlfn.LET(
_xlpm.col,I79:I86,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86" s="1" t="str">
        <f>_xlfn.LET(
_xlpm.col,J79:J86,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86" s="2">
        <f>IFERROR(
( COUNTIF(D79:J86,"S") + 0.5*COUNTIF(D79:J86,"C") )
/
( COUNTIF(D79:J86,"S") + COUNTIF(D79:J86,"C") + COUNTIF(D79:J86,"N") )
*100,0)</f>
        <v>81.25</v>
      </c>
    </row>
    <row r="87" spans="1:23" ht="30" x14ac:dyDescent="0.25">
      <c r="A87" s="5" t="s">
        <v>46</v>
      </c>
      <c r="B87" s="4" t="s">
        <v>18</v>
      </c>
      <c r="C87" s="4" t="s">
        <v>45</v>
      </c>
      <c r="D87" s="3" t="s">
        <v>1</v>
      </c>
      <c r="E87" s="3" t="s">
        <v>3</v>
      </c>
      <c r="F87" s="3" t="s">
        <v>3</v>
      </c>
      <c r="G87" s="3" t="s">
        <v>1</v>
      </c>
      <c r="H87" s="3" t="s">
        <v>1</v>
      </c>
      <c r="I87" s="3" t="s">
        <v>3</v>
      </c>
      <c r="J87" s="3" t="s">
        <v>3</v>
      </c>
      <c r="K87" s="1">
        <f>IFERROR(
( COUNTIF(D87:J87,"S") + 0.5*COUNTIF(D87:J87,"C") )
/
( COUNTIF(D87:J87,"S") + COUNTIF(D87:J87,"C") + COUNTIF(D87:J87,"N") )
*100,0)</f>
        <v>100</v>
      </c>
      <c r="L87" s="1">
        <f>COUNTIF(D87:J87,"S")</f>
        <v>3</v>
      </c>
      <c r="M87" s="1">
        <f>COUNTIF(D87:J87,"C")</f>
        <v>0</v>
      </c>
      <c r="N87" s="1">
        <f>COUNTIF(D87:J87,"N")</f>
        <v>0</v>
      </c>
    </row>
    <row r="88" spans="1:23" ht="30" x14ac:dyDescent="0.25">
      <c r="A88" s="5"/>
      <c r="B88" s="4" t="s">
        <v>16</v>
      </c>
      <c r="C88" s="4" t="s">
        <v>44</v>
      </c>
      <c r="D88" s="3" t="s">
        <v>4</v>
      </c>
      <c r="E88" s="3" t="s">
        <v>2</v>
      </c>
      <c r="F88" s="3" t="s">
        <v>3</v>
      </c>
      <c r="G88" s="3" t="s">
        <v>1</v>
      </c>
      <c r="H88" s="3" t="s">
        <v>1</v>
      </c>
      <c r="I88" s="3" t="s">
        <v>4</v>
      </c>
      <c r="J88" s="3" t="s">
        <v>3</v>
      </c>
      <c r="K88" s="1">
        <f>IFERROR(
( COUNTIF(D88:J88,"S") + 0.5*COUNTIF(D88:J88,"C") )
/
( COUNTIF(D88:J88,"S") + COUNTIF(D88:J88,"C") + COUNTIF(D88:J88,"N") )
*100,0)</f>
        <v>60</v>
      </c>
      <c r="L88" s="1">
        <f>COUNTIF(D88:J88,"S")</f>
        <v>2</v>
      </c>
      <c r="M88" s="1">
        <f>COUNTIF(D88:J88,"C")</f>
        <v>2</v>
      </c>
      <c r="N88" s="1">
        <f>COUNTIF(D88:J88,"N")</f>
        <v>1</v>
      </c>
    </row>
    <row r="89" spans="1:23" ht="30" x14ac:dyDescent="0.25">
      <c r="A89" s="5"/>
      <c r="B89" s="4" t="s">
        <v>14</v>
      </c>
      <c r="C89" s="4" t="s">
        <v>43</v>
      </c>
      <c r="D89" s="3" t="s">
        <v>1</v>
      </c>
      <c r="E89" s="3" t="s">
        <v>1</v>
      </c>
      <c r="F89" s="3" t="s">
        <v>3</v>
      </c>
      <c r="G89" s="3" t="s">
        <v>1</v>
      </c>
      <c r="H89" s="3" t="s">
        <v>1</v>
      </c>
      <c r="I89" s="3" t="s">
        <v>3</v>
      </c>
      <c r="J89" s="3" t="s">
        <v>3</v>
      </c>
      <c r="K89" s="1">
        <f>IFERROR(
( COUNTIF(D89:J89,"S") + 0.5*COUNTIF(D89:J89,"C") )
/
( COUNTIF(D89:J89,"S") + COUNTIF(D89:J89,"C") + COUNTIF(D89:J89,"N") )
*100,0)</f>
        <v>100</v>
      </c>
      <c r="L89" s="1">
        <f>COUNTIF(D89:J89,"S")</f>
        <v>4</v>
      </c>
      <c r="M89" s="1">
        <f>COUNTIF(D89:J89,"C")</f>
        <v>0</v>
      </c>
      <c r="N89" s="1">
        <f>COUNTIF(D89:J89,"N")</f>
        <v>0</v>
      </c>
    </row>
    <row r="90" spans="1:23" ht="30" x14ac:dyDescent="0.25">
      <c r="A90" s="5"/>
      <c r="B90" s="4" t="s">
        <v>12</v>
      </c>
      <c r="C90" s="4" t="s">
        <v>42</v>
      </c>
      <c r="D90" s="3" t="s">
        <v>4</v>
      </c>
      <c r="E90" s="3" t="s">
        <v>2</v>
      </c>
      <c r="F90" s="3" t="s">
        <v>3</v>
      </c>
      <c r="G90" s="3" t="s">
        <v>2</v>
      </c>
      <c r="H90" s="3" t="s">
        <v>1</v>
      </c>
      <c r="I90" s="3" t="s">
        <v>1</v>
      </c>
      <c r="J90" s="3" t="s">
        <v>3</v>
      </c>
      <c r="K90" s="1">
        <f>IFERROR(
( COUNTIF(D90:J90,"S") + 0.5*COUNTIF(D90:J90,"C") )
/
( COUNTIF(D90:J90,"S") + COUNTIF(D90:J90,"C") + COUNTIF(D90:J90,"N") )
*100,0)</f>
        <v>50</v>
      </c>
      <c r="L90" s="1">
        <f>COUNTIF(D90:J90,"S")</f>
        <v>2</v>
      </c>
      <c r="M90" s="1">
        <f>COUNTIF(D90:J90,"C")</f>
        <v>1</v>
      </c>
      <c r="N90" s="1">
        <f>COUNTIF(D90:J90,"N")</f>
        <v>2</v>
      </c>
    </row>
    <row r="91" spans="1:23" ht="30" x14ac:dyDescent="0.25">
      <c r="A91" s="5"/>
      <c r="B91" s="4" t="s">
        <v>11</v>
      </c>
      <c r="C91" s="4" t="s">
        <v>41</v>
      </c>
      <c r="D91" s="3" t="s">
        <v>4</v>
      </c>
      <c r="E91" s="3" t="s">
        <v>1</v>
      </c>
      <c r="F91" s="3" t="s">
        <v>3</v>
      </c>
      <c r="G91" s="3" t="s">
        <v>1</v>
      </c>
      <c r="H91" s="3" t="s">
        <v>1</v>
      </c>
      <c r="I91" s="3" t="s">
        <v>3</v>
      </c>
      <c r="J91" s="3" t="s">
        <v>3</v>
      </c>
      <c r="K91" s="1">
        <f>IFERROR(
( COUNTIF(D91:J91,"S") + 0.5*COUNTIF(D91:J91,"C") )
/
( COUNTIF(D91:J91,"S") + COUNTIF(D91:J91,"C") + COUNTIF(D91:J91,"N") )
*100,0)</f>
        <v>87.5</v>
      </c>
      <c r="L91" s="1">
        <f>COUNTIF(D91:J91,"S")</f>
        <v>3</v>
      </c>
      <c r="M91" s="1">
        <f>COUNTIF(D91:J91,"C")</f>
        <v>1</v>
      </c>
      <c r="N91" s="1">
        <f>COUNTIF(D91:J91,"N")</f>
        <v>0</v>
      </c>
    </row>
    <row r="92" spans="1:23" ht="30" x14ac:dyDescent="0.25">
      <c r="A92" s="5"/>
      <c r="B92" s="4" t="s">
        <v>9</v>
      </c>
      <c r="C92" s="4" t="s">
        <v>40</v>
      </c>
      <c r="D92" s="3" t="s">
        <v>1</v>
      </c>
      <c r="E92" s="3" t="s">
        <v>2</v>
      </c>
      <c r="F92" s="3" t="s">
        <v>3</v>
      </c>
      <c r="G92" s="3" t="s">
        <v>2</v>
      </c>
      <c r="H92" s="3" t="s">
        <v>2</v>
      </c>
      <c r="I92" s="3" t="s">
        <v>4</v>
      </c>
      <c r="J92" s="3" t="s">
        <v>3</v>
      </c>
      <c r="K92" s="1">
        <f>IFERROR(
( COUNTIF(D92:J92,"S") + 0.5*COUNTIF(D92:J92,"C") )
/
( COUNTIF(D92:J92,"S") + COUNTIF(D92:J92,"C") + COUNTIF(D92:J92,"N") )
*100,0)</f>
        <v>30</v>
      </c>
      <c r="L92" s="1">
        <f>COUNTIF(D92:J92,"S")</f>
        <v>1</v>
      </c>
      <c r="M92" s="1">
        <f>COUNTIF(D92:J92,"C")</f>
        <v>1</v>
      </c>
      <c r="N92" s="1">
        <f>COUNTIF(D92:J92,"N")</f>
        <v>3</v>
      </c>
    </row>
    <row r="93" spans="1:23" ht="30" x14ac:dyDescent="0.25">
      <c r="A93" s="5"/>
      <c r="B93" s="4" t="s">
        <v>7</v>
      </c>
      <c r="C93" s="4" t="s">
        <v>39</v>
      </c>
      <c r="D93" s="3" t="s">
        <v>1</v>
      </c>
      <c r="E93" s="3" t="s">
        <v>2</v>
      </c>
      <c r="F93" s="3" t="s">
        <v>3</v>
      </c>
      <c r="G93" s="3" t="s">
        <v>1</v>
      </c>
      <c r="H93" s="3" t="s">
        <v>1</v>
      </c>
      <c r="I93" s="3" t="s">
        <v>1</v>
      </c>
      <c r="J93" s="3" t="s">
        <v>3</v>
      </c>
      <c r="K93" s="1">
        <f>IFERROR(
( COUNTIF(D93:J93,"S") + 0.5*COUNTIF(D93:J93,"C") )
/
( COUNTIF(D93:J93,"S") + COUNTIF(D93:J93,"C") + COUNTIF(D93:J93,"N") )
*100,0)</f>
        <v>80</v>
      </c>
      <c r="L93" s="1">
        <f>COUNTIF(D93:J93,"S")</f>
        <v>4</v>
      </c>
      <c r="M93" s="1">
        <f>COUNTIF(D93:J93,"C")</f>
        <v>0</v>
      </c>
      <c r="N93" s="1">
        <f>COUNTIF(D93:J93,"N")</f>
        <v>1</v>
      </c>
    </row>
    <row r="94" spans="1:23" ht="30" x14ac:dyDescent="0.25">
      <c r="A94" s="5"/>
      <c r="B94" s="4" t="s">
        <v>6</v>
      </c>
      <c r="C94" s="4" t="s">
        <v>38</v>
      </c>
      <c r="D94" s="3" t="s">
        <v>1</v>
      </c>
      <c r="E94" s="3" t="s">
        <v>2</v>
      </c>
      <c r="F94" s="3" t="s">
        <v>3</v>
      </c>
      <c r="G94" s="3" t="s">
        <v>1</v>
      </c>
      <c r="H94" s="3" t="s">
        <v>4</v>
      </c>
      <c r="I94" s="3" t="s">
        <v>4</v>
      </c>
      <c r="J94" s="3" t="s">
        <v>3</v>
      </c>
      <c r="K94" s="1">
        <f>IFERROR(
( COUNTIF(D94:J94,"S") + 0.5*COUNTIF(D94:J94,"C") )
/
( COUNTIF(D94:J94,"S") + COUNTIF(D94:J94,"C") + COUNTIF(D94:J94,"N") )
*100,0)</f>
        <v>60</v>
      </c>
      <c r="L94" s="1">
        <f>COUNTIF(D94:J94,"S")</f>
        <v>2</v>
      </c>
      <c r="M94" s="1">
        <f>COUNTIF(D94:J94,"C")</f>
        <v>2</v>
      </c>
      <c r="N94" s="1">
        <f>COUNTIF(D94:J94,"N")</f>
        <v>1</v>
      </c>
      <c r="P94" s="1" t="str">
        <f>_xlfn.LET(
_xlpm.col,D87:D94,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94" s="1" t="str">
        <f>_xlfn.LET(
_xlpm.col,E87:E94,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R94" s="1" t="str">
        <f>_xlfn.LET(
_xlpm.col,F87:F94,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94" s="1" t="str">
        <f>_xlfn.LET(
_xlpm.col,G87:G94,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94" s="1" t="str">
        <f>_xlfn.LET(
_xlpm.col,H87:H94,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94" s="1" t="str">
        <f>_xlfn.LET(
_xlpm.col,I87:I94,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V94" s="1" t="str">
        <f>_xlfn.LET(
_xlpm.col,J87:J94,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W94" s="2">
        <f>IFERROR(
( COUNTIF(D87:J94,"S") + 0.5*COUNTIF(D87:J94,"C") )
/
( COUNTIF(D87:J94,"S") + COUNTIF(D87:J94,"C") + COUNTIF(D87:J94,"N") )
*100,0)</f>
        <v>68.055555555555557</v>
      </c>
    </row>
    <row r="95" spans="1:23" ht="45" x14ac:dyDescent="0.25">
      <c r="A95" s="5" t="s">
        <v>37</v>
      </c>
      <c r="B95" s="4" t="s">
        <v>18</v>
      </c>
      <c r="C95" s="4" t="s">
        <v>36</v>
      </c>
      <c r="D95" s="3" t="s">
        <v>1</v>
      </c>
      <c r="E95" s="3" t="s">
        <v>3</v>
      </c>
      <c r="F95" s="3" t="s">
        <v>3</v>
      </c>
      <c r="G95" s="3" t="s">
        <v>1</v>
      </c>
      <c r="H95" s="3" t="s">
        <v>1</v>
      </c>
      <c r="I95" s="3" t="s">
        <v>3</v>
      </c>
      <c r="J95" s="3" t="s">
        <v>3</v>
      </c>
      <c r="K95" s="1">
        <f>IFERROR(
( COUNTIF(D95:J95,"S") + 0.5*COUNTIF(D95:J95,"C") )
/
( COUNTIF(D95:J95,"S") + COUNTIF(D95:J95,"C") + COUNTIF(D95:J95,"N") )
*100,0)</f>
        <v>100</v>
      </c>
      <c r="L95" s="1">
        <f>COUNTIF(D95:J95,"S")</f>
        <v>3</v>
      </c>
      <c r="M95" s="1">
        <f>COUNTIF(D95:J95,"C")</f>
        <v>0</v>
      </c>
      <c r="N95" s="1">
        <f>COUNTIF(D95:J95,"N")</f>
        <v>0</v>
      </c>
    </row>
    <row r="96" spans="1:23" ht="45" x14ac:dyDescent="0.25">
      <c r="A96" s="5"/>
      <c r="B96" s="4" t="s">
        <v>16</v>
      </c>
      <c r="C96" s="4" t="s">
        <v>35</v>
      </c>
      <c r="D96" s="3" t="s">
        <v>1</v>
      </c>
      <c r="E96" s="3" t="s">
        <v>1</v>
      </c>
      <c r="F96" s="3" t="s">
        <v>3</v>
      </c>
      <c r="G96" s="3" t="s">
        <v>1</v>
      </c>
      <c r="H96" s="3" t="s">
        <v>1</v>
      </c>
      <c r="I96" s="3" t="s">
        <v>1</v>
      </c>
      <c r="J96" s="3" t="s">
        <v>2</v>
      </c>
      <c r="K96" s="1">
        <f>IFERROR(
( COUNTIF(D96:J96,"S") + 0.5*COUNTIF(D96:J96,"C") )
/
( COUNTIF(D96:J96,"S") + COUNTIF(D96:J96,"C") + COUNTIF(D96:J96,"N") )
*100,0)</f>
        <v>83.333333333333343</v>
      </c>
      <c r="L96" s="1">
        <f>COUNTIF(D96:J96,"S")</f>
        <v>5</v>
      </c>
      <c r="M96" s="1">
        <f>COUNTIF(D96:J96,"C")</f>
        <v>0</v>
      </c>
      <c r="N96" s="1">
        <f>COUNTIF(D96:J96,"N")</f>
        <v>1</v>
      </c>
    </row>
    <row r="97" spans="1:23" ht="45" x14ac:dyDescent="0.25">
      <c r="A97" s="5"/>
      <c r="B97" s="4" t="s">
        <v>14</v>
      </c>
      <c r="C97" s="4" t="s">
        <v>34</v>
      </c>
      <c r="D97" s="3" t="s">
        <v>1</v>
      </c>
      <c r="E97" s="3" t="s">
        <v>1</v>
      </c>
      <c r="F97" s="3" t="s">
        <v>3</v>
      </c>
      <c r="G97" s="3" t="s">
        <v>1</v>
      </c>
      <c r="H97" s="3" t="s">
        <v>1</v>
      </c>
      <c r="I97" s="3" t="s">
        <v>1</v>
      </c>
      <c r="J97" s="3" t="s">
        <v>1</v>
      </c>
      <c r="K97" s="1">
        <f>IFERROR(
( COUNTIF(D97:J97,"S") + 0.5*COUNTIF(D97:J97,"C") )
/
( COUNTIF(D97:J97,"S") + COUNTIF(D97:J97,"C") + COUNTIF(D97:J97,"N") )
*100,0)</f>
        <v>100</v>
      </c>
      <c r="L97" s="1">
        <f>COUNTIF(D97:J97,"S")</f>
        <v>6</v>
      </c>
      <c r="M97" s="1">
        <f>COUNTIF(D97:J97,"C")</f>
        <v>0</v>
      </c>
      <c r="N97" s="1">
        <f>COUNTIF(D97:J97,"N")</f>
        <v>0</v>
      </c>
    </row>
    <row r="98" spans="1:23" ht="30" x14ac:dyDescent="0.25">
      <c r="A98" s="5"/>
      <c r="B98" s="4" t="s">
        <v>12</v>
      </c>
      <c r="C98" s="4" t="s">
        <v>33</v>
      </c>
      <c r="D98" s="3" t="s">
        <v>1</v>
      </c>
      <c r="E98" s="3" t="s">
        <v>1</v>
      </c>
      <c r="F98" s="3" t="s">
        <v>3</v>
      </c>
      <c r="G98" s="3" t="s">
        <v>1</v>
      </c>
      <c r="H98" s="3" t="s">
        <v>1</v>
      </c>
      <c r="I98" s="3" t="s">
        <v>1</v>
      </c>
      <c r="J98" s="3" t="s">
        <v>4</v>
      </c>
      <c r="K98" s="1">
        <f>IFERROR(
( COUNTIF(D98:J98,"S") + 0.5*COUNTIF(D98:J98,"C") )
/
( COUNTIF(D98:J98,"S") + COUNTIF(D98:J98,"C") + COUNTIF(D98:J98,"N") )
*100,0)</f>
        <v>91.666666666666657</v>
      </c>
      <c r="L98" s="1">
        <f>COUNTIF(D98:J98,"S")</f>
        <v>5</v>
      </c>
      <c r="M98" s="1">
        <f>COUNTIF(D98:J98,"C")</f>
        <v>1</v>
      </c>
      <c r="N98" s="1">
        <f>COUNTIF(D98:J98,"N")</f>
        <v>0</v>
      </c>
    </row>
    <row r="99" spans="1:23" ht="45" x14ac:dyDescent="0.25">
      <c r="A99" s="5"/>
      <c r="B99" s="4" t="s">
        <v>11</v>
      </c>
      <c r="C99" s="4" t="s">
        <v>32</v>
      </c>
      <c r="D99" s="3" t="s">
        <v>1</v>
      </c>
      <c r="E99" s="3" t="s">
        <v>1</v>
      </c>
      <c r="F99" s="3" t="s">
        <v>3</v>
      </c>
      <c r="G99" s="3" t="s">
        <v>1</v>
      </c>
      <c r="H99" s="3" t="s">
        <v>1</v>
      </c>
      <c r="I99" s="3" t="s">
        <v>1</v>
      </c>
      <c r="J99" s="3" t="s">
        <v>1</v>
      </c>
      <c r="K99" s="1">
        <f>IFERROR(
( COUNTIF(D99:J99,"S") + 0.5*COUNTIF(D99:J99,"C") )
/
( COUNTIF(D99:J99,"S") + COUNTIF(D99:J99,"C") + COUNTIF(D99:J99,"N") )
*100,0)</f>
        <v>100</v>
      </c>
      <c r="L99" s="1">
        <f>COUNTIF(D99:J99,"S")</f>
        <v>6</v>
      </c>
      <c r="M99" s="1">
        <f>COUNTIF(D99:J99,"C")</f>
        <v>0</v>
      </c>
      <c r="N99" s="1">
        <f>COUNTIF(D99:J99,"N")</f>
        <v>0</v>
      </c>
    </row>
    <row r="100" spans="1:23" ht="30" x14ac:dyDescent="0.25">
      <c r="A100" s="5"/>
      <c r="B100" s="4" t="s">
        <v>9</v>
      </c>
      <c r="C100" s="4" t="s">
        <v>31</v>
      </c>
      <c r="D100" s="3" t="s">
        <v>1</v>
      </c>
      <c r="E100" s="3" t="s">
        <v>2</v>
      </c>
      <c r="F100" s="3" t="s">
        <v>3</v>
      </c>
      <c r="G100" s="3" t="s">
        <v>1</v>
      </c>
      <c r="H100" s="3" t="s">
        <v>2</v>
      </c>
      <c r="I100" s="3" t="s">
        <v>4</v>
      </c>
      <c r="J100" s="3" t="s">
        <v>2</v>
      </c>
      <c r="K100" s="1">
        <f>IFERROR(
( COUNTIF(D100:J100,"S") + 0.5*COUNTIF(D100:J100,"C") )
/
( COUNTIF(D100:J100,"S") + COUNTIF(D100:J100,"C") + COUNTIF(D100:J100,"N") )
*100,0)</f>
        <v>41.666666666666671</v>
      </c>
      <c r="L100" s="1">
        <f>COUNTIF(D100:J100,"S")</f>
        <v>2</v>
      </c>
      <c r="M100" s="1">
        <f>COUNTIF(D100:J100,"C")</f>
        <v>1</v>
      </c>
      <c r="N100" s="1">
        <f>COUNTIF(D100:J100,"N")</f>
        <v>3</v>
      </c>
    </row>
    <row r="101" spans="1:23" ht="30" x14ac:dyDescent="0.25">
      <c r="A101" s="5"/>
      <c r="B101" s="4" t="s">
        <v>7</v>
      </c>
      <c r="C101" s="4" t="s">
        <v>30</v>
      </c>
      <c r="D101" s="3" t="s">
        <v>1</v>
      </c>
      <c r="E101" s="3" t="s">
        <v>1</v>
      </c>
      <c r="F101" s="3" t="s">
        <v>3</v>
      </c>
      <c r="G101" s="3" t="s">
        <v>1</v>
      </c>
      <c r="H101" s="3" t="s">
        <v>1</v>
      </c>
      <c r="I101" s="3" t="s">
        <v>1</v>
      </c>
      <c r="J101" s="3" t="s">
        <v>2</v>
      </c>
      <c r="K101" s="1">
        <f>IFERROR(
( COUNTIF(D101:J101,"S") + 0.5*COUNTIF(D101:J101,"C") )
/
( COUNTIF(D101:J101,"S") + COUNTIF(D101:J101,"C") + COUNTIF(D101:J101,"N") )
*100,0)</f>
        <v>83.333333333333343</v>
      </c>
      <c r="L101" s="1">
        <f>COUNTIF(D101:J101,"S")</f>
        <v>5</v>
      </c>
      <c r="M101" s="1">
        <f>COUNTIF(D101:J101,"C")</f>
        <v>0</v>
      </c>
      <c r="N101" s="1">
        <f>COUNTIF(D101:J101,"N")</f>
        <v>1</v>
      </c>
    </row>
    <row r="102" spans="1:23" ht="45" x14ac:dyDescent="0.25">
      <c r="A102" s="5"/>
      <c r="B102" s="4" t="s">
        <v>6</v>
      </c>
      <c r="C102" s="4" t="s">
        <v>29</v>
      </c>
      <c r="D102" s="3" t="s">
        <v>1</v>
      </c>
      <c r="E102" s="3" t="s">
        <v>1</v>
      </c>
      <c r="F102" s="3" t="s">
        <v>3</v>
      </c>
      <c r="G102" s="3" t="s">
        <v>1</v>
      </c>
      <c r="H102" s="3" t="s">
        <v>2</v>
      </c>
      <c r="I102" s="3" t="s">
        <v>1</v>
      </c>
      <c r="J102" s="3" t="s">
        <v>2</v>
      </c>
      <c r="K102" s="1">
        <f>IFERROR(
( COUNTIF(D102:J102,"S") + 0.5*COUNTIF(D102:J102,"C") )
/
( COUNTIF(D102:J102,"S") + COUNTIF(D102:J102,"C") + COUNTIF(D102:J102,"N") )
*100,0)</f>
        <v>66.666666666666657</v>
      </c>
      <c r="L102" s="1">
        <f>COUNTIF(D102:J102,"S")</f>
        <v>4</v>
      </c>
      <c r="M102" s="1">
        <f>COUNTIF(D102:J102,"C")</f>
        <v>0</v>
      </c>
      <c r="N102" s="1">
        <f>COUNTIF(D102:J102,"N")</f>
        <v>2</v>
      </c>
      <c r="P102" s="1" t="str">
        <f>_xlfn.LET(
_xlpm.col,D95:D102,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102" s="1" t="str">
        <f>_xlfn.LET(
_xlpm.col,E95:E102,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102" s="1" t="str">
        <f>_xlfn.LET(
_xlpm.col,F95:F102,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102" s="1" t="str">
        <f>_xlfn.LET(
_xlpm.col,G95:G102,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102" s="1" t="str">
        <f>_xlfn.LET(
_xlpm.col,H95:H102,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102" s="1" t="str">
        <f>_xlfn.LET(
_xlpm.col,I95:I102,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102" s="1" t="str">
        <f>_xlfn.LET(
_xlpm.col,J95:J102,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102" s="2">
        <f>IFERROR(
( COUNTIF(D95:J102,"S") + 0.5*COUNTIF(D95:J102,"C") )
/
( COUNTIF(D95:J102,"S") + COUNTIF(D95:J102,"C") + COUNTIF(D95:J102,"N") )
*100,0)</f>
        <v>82.222222222222214</v>
      </c>
    </row>
    <row r="103" spans="1:23" ht="60" x14ac:dyDescent="0.25">
      <c r="A103" s="5" t="s">
        <v>28</v>
      </c>
      <c r="B103" s="4" t="s">
        <v>18</v>
      </c>
      <c r="C103" s="4" t="s">
        <v>27</v>
      </c>
      <c r="D103" s="3" t="s">
        <v>1</v>
      </c>
      <c r="E103" s="3" t="s">
        <v>3</v>
      </c>
      <c r="F103" s="3" t="s">
        <v>3</v>
      </c>
      <c r="G103" s="3" t="s">
        <v>1</v>
      </c>
      <c r="H103" s="3" t="s">
        <v>1</v>
      </c>
      <c r="I103" s="3" t="s">
        <v>3</v>
      </c>
      <c r="J103" s="3" t="s">
        <v>3</v>
      </c>
      <c r="K103" s="1">
        <f>IFERROR(
( COUNTIF(D103:J103,"S") + 0.5*COUNTIF(D103:J103,"C") )
/
( COUNTIF(D103:J103,"S") + COUNTIF(D103:J103,"C") + COUNTIF(D103:J103,"N") )
*100,0)</f>
        <v>100</v>
      </c>
      <c r="L103" s="1">
        <f>COUNTIF(D103:J103,"S")</f>
        <v>3</v>
      </c>
      <c r="M103" s="1">
        <f>COUNTIF(D103:J103,"C")</f>
        <v>0</v>
      </c>
      <c r="N103" s="1">
        <f>COUNTIF(D103:J103,"N")</f>
        <v>0</v>
      </c>
    </row>
    <row r="104" spans="1:23" ht="30" x14ac:dyDescent="0.25">
      <c r="A104" s="5"/>
      <c r="B104" s="4" t="s">
        <v>16</v>
      </c>
      <c r="C104" s="4" t="s">
        <v>26</v>
      </c>
      <c r="D104" s="3" t="s">
        <v>4</v>
      </c>
      <c r="E104" s="3" t="s">
        <v>1</v>
      </c>
      <c r="F104" s="3" t="s">
        <v>3</v>
      </c>
      <c r="G104" s="3" t="s">
        <v>4</v>
      </c>
      <c r="H104" s="3" t="s">
        <v>4</v>
      </c>
      <c r="I104" s="3" t="s">
        <v>1</v>
      </c>
      <c r="J104" s="3" t="s">
        <v>2</v>
      </c>
      <c r="K104" s="1">
        <f>IFERROR(
( COUNTIF(D104:J104,"S") + 0.5*COUNTIF(D104:J104,"C") )
/
( COUNTIF(D104:J104,"S") + COUNTIF(D104:J104,"C") + COUNTIF(D104:J104,"N") )
*100,0)</f>
        <v>58.333333333333336</v>
      </c>
      <c r="L104" s="1">
        <f>COUNTIF(D104:J104,"S")</f>
        <v>2</v>
      </c>
      <c r="M104" s="1">
        <f>COUNTIF(D104:J104,"C")</f>
        <v>3</v>
      </c>
      <c r="N104" s="1">
        <f>COUNTIF(D104:J104,"N")</f>
        <v>1</v>
      </c>
    </row>
    <row r="105" spans="1:23" ht="45" x14ac:dyDescent="0.25">
      <c r="A105" s="5"/>
      <c r="B105" s="4" t="s">
        <v>14</v>
      </c>
      <c r="C105" s="4" t="s">
        <v>25</v>
      </c>
      <c r="D105" s="3" t="s">
        <v>1</v>
      </c>
      <c r="E105" s="3" t="s">
        <v>1</v>
      </c>
      <c r="F105" s="3" t="s">
        <v>3</v>
      </c>
      <c r="G105" s="3" t="s">
        <v>1</v>
      </c>
      <c r="H105" s="3" t="s">
        <v>1</v>
      </c>
      <c r="I105" s="3" t="s">
        <v>1</v>
      </c>
      <c r="J105" s="3" t="s">
        <v>1</v>
      </c>
      <c r="K105" s="1">
        <f>IFERROR(
( COUNTIF(D105:J105,"S") + 0.5*COUNTIF(D105:J105,"C") )
/
( COUNTIF(D105:J105,"S") + COUNTIF(D105:J105,"C") + COUNTIF(D105:J105,"N") )
*100,0)</f>
        <v>100</v>
      </c>
      <c r="L105" s="1">
        <f>COUNTIF(D105:J105,"S")</f>
        <v>6</v>
      </c>
      <c r="M105" s="1">
        <f>COUNTIF(D105:J105,"C")</f>
        <v>0</v>
      </c>
      <c r="N105" s="1">
        <f>COUNTIF(D105:J105,"N")</f>
        <v>0</v>
      </c>
    </row>
    <row r="106" spans="1:23" ht="30" x14ac:dyDescent="0.25">
      <c r="A106" s="5"/>
      <c r="B106" s="4" t="s">
        <v>12</v>
      </c>
      <c r="C106" s="4" t="s">
        <v>24</v>
      </c>
      <c r="D106" s="3" t="s">
        <v>4</v>
      </c>
      <c r="E106" s="3" t="s">
        <v>1</v>
      </c>
      <c r="F106" s="3" t="s">
        <v>3</v>
      </c>
      <c r="G106" s="3" t="s">
        <v>1</v>
      </c>
      <c r="H106" s="3" t="s">
        <v>4</v>
      </c>
      <c r="I106" s="3" t="s">
        <v>4</v>
      </c>
      <c r="J106" s="3" t="s">
        <v>4</v>
      </c>
      <c r="K106" s="1">
        <f>IFERROR(
( COUNTIF(D106:J106,"S") + 0.5*COUNTIF(D106:J106,"C") )
/
( COUNTIF(D106:J106,"S") + COUNTIF(D106:J106,"C") + COUNTIF(D106:J106,"N") )
*100,0)</f>
        <v>66.666666666666657</v>
      </c>
      <c r="L106" s="1">
        <f>COUNTIF(D106:J106,"S")</f>
        <v>2</v>
      </c>
      <c r="M106" s="1">
        <f>COUNTIF(D106:J106,"C")</f>
        <v>4</v>
      </c>
      <c r="N106" s="1">
        <f>COUNTIF(D106:J106,"N")</f>
        <v>0</v>
      </c>
    </row>
    <row r="107" spans="1:23" ht="30" x14ac:dyDescent="0.25">
      <c r="A107" s="5"/>
      <c r="B107" s="4" t="s">
        <v>11</v>
      </c>
      <c r="C107" s="4" t="s">
        <v>23</v>
      </c>
      <c r="D107" s="3" t="s">
        <v>1</v>
      </c>
      <c r="E107" s="3" t="s">
        <v>1</v>
      </c>
      <c r="F107" s="3" t="s">
        <v>3</v>
      </c>
      <c r="G107" s="3" t="s">
        <v>1</v>
      </c>
      <c r="H107" s="3" t="s">
        <v>1</v>
      </c>
      <c r="I107" s="3" t="s">
        <v>1</v>
      </c>
      <c r="J107" s="3" t="s">
        <v>1</v>
      </c>
      <c r="K107" s="1">
        <f>IFERROR(
( COUNTIF(D107:J107,"S") + 0.5*COUNTIF(D107:J107,"C") )
/
( COUNTIF(D107:J107,"S") + COUNTIF(D107:J107,"C") + COUNTIF(D107:J107,"N") )
*100,0)</f>
        <v>100</v>
      </c>
      <c r="L107" s="1">
        <f>COUNTIF(D107:J107,"S")</f>
        <v>6</v>
      </c>
      <c r="M107" s="1">
        <f>COUNTIF(D107:J107,"C")</f>
        <v>0</v>
      </c>
      <c r="N107" s="1">
        <f>COUNTIF(D107:J107,"N")</f>
        <v>0</v>
      </c>
    </row>
    <row r="108" spans="1:23" ht="30" x14ac:dyDescent="0.25">
      <c r="A108" s="5"/>
      <c r="B108" s="4" t="s">
        <v>9</v>
      </c>
      <c r="C108" s="4" t="s">
        <v>22</v>
      </c>
      <c r="D108" s="3" t="s">
        <v>4</v>
      </c>
      <c r="E108" s="3" t="s">
        <v>2</v>
      </c>
      <c r="F108" s="3" t="s">
        <v>3</v>
      </c>
      <c r="G108" s="3" t="s">
        <v>1</v>
      </c>
      <c r="H108" s="3" t="s">
        <v>2</v>
      </c>
      <c r="I108" s="3" t="s">
        <v>4</v>
      </c>
      <c r="J108" s="3" t="s">
        <v>2</v>
      </c>
      <c r="K108" s="1">
        <f>IFERROR(
( COUNTIF(D108:J108,"S") + 0.5*COUNTIF(D108:J108,"C") )
/
( COUNTIF(D108:J108,"S") + COUNTIF(D108:J108,"C") + COUNTIF(D108:J108,"N") )
*100,0)</f>
        <v>33.333333333333329</v>
      </c>
      <c r="L108" s="1">
        <f>COUNTIF(D108:J108,"S")</f>
        <v>1</v>
      </c>
      <c r="M108" s="1">
        <f>COUNTIF(D108:J108,"C")</f>
        <v>2</v>
      </c>
      <c r="N108" s="1">
        <f>COUNTIF(D108:J108,"N")</f>
        <v>3</v>
      </c>
    </row>
    <row r="109" spans="1:23" ht="30" x14ac:dyDescent="0.25">
      <c r="A109" s="5"/>
      <c r="B109" s="4" t="s">
        <v>7</v>
      </c>
      <c r="C109" s="4" t="s">
        <v>21</v>
      </c>
      <c r="D109" s="3" t="s">
        <v>1</v>
      </c>
      <c r="E109" s="3" t="s">
        <v>1</v>
      </c>
      <c r="F109" s="3" t="s">
        <v>3</v>
      </c>
      <c r="G109" s="3" t="s">
        <v>1</v>
      </c>
      <c r="H109" s="3" t="s">
        <v>1</v>
      </c>
      <c r="I109" s="3" t="s">
        <v>1</v>
      </c>
      <c r="J109" s="3" t="s">
        <v>2</v>
      </c>
      <c r="K109" s="1">
        <f>IFERROR(
( COUNTIF(D109:J109,"S") + 0.5*COUNTIF(D109:J109,"C") )
/
( COUNTIF(D109:J109,"S") + COUNTIF(D109:J109,"C") + COUNTIF(D109:J109,"N") )
*100,0)</f>
        <v>83.333333333333343</v>
      </c>
      <c r="L109" s="1">
        <f>COUNTIF(D109:J109,"S")</f>
        <v>5</v>
      </c>
      <c r="M109" s="1">
        <f>COUNTIF(D109:J109,"C")</f>
        <v>0</v>
      </c>
      <c r="N109" s="1">
        <f>COUNTIF(D109:J109,"N")</f>
        <v>1</v>
      </c>
    </row>
    <row r="110" spans="1:23" ht="45" x14ac:dyDescent="0.25">
      <c r="A110" s="5"/>
      <c r="B110" s="4" t="s">
        <v>6</v>
      </c>
      <c r="C110" s="4" t="s">
        <v>20</v>
      </c>
      <c r="D110" s="3" t="s">
        <v>1</v>
      </c>
      <c r="E110" s="3" t="s">
        <v>1</v>
      </c>
      <c r="F110" s="3" t="s">
        <v>3</v>
      </c>
      <c r="G110" s="3" t="s">
        <v>1</v>
      </c>
      <c r="H110" s="3" t="s">
        <v>2</v>
      </c>
      <c r="I110" s="3" t="s">
        <v>1</v>
      </c>
      <c r="J110" s="3" t="s">
        <v>2</v>
      </c>
      <c r="K110" s="1">
        <f>IFERROR(
( COUNTIF(D110:J110,"S") + 0.5*COUNTIF(D110:J110,"C") )
/
( COUNTIF(D110:J110,"S") + COUNTIF(D110:J110,"C") + COUNTIF(D110:J110,"N") )
*100,0)</f>
        <v>66.666666666666657</v>
      </c>
      <c r="L110" s="1">
        <f>COUNTIF(D110:J110,"S")</f>
        <v>4</v>
      </c>
      <c r="M110" s="1">
        <f>COUNTIF(D110:J110,"C")</f>
        <v>0</v>
      </c>
      <c r="N110" s="1">
        <f>COUNTIF(D110:J110,"N")</f>
        <v>2</v>
      </c>
      <c r="P110" s="1" t="str">
        <f>_xlfn.LET(
_xlpm.col,D103:D110,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110" s="1" t="str">
        <f>_xlfn.LET(
_xlpm.col,E103:E110,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110" s="1" t="str">
        <f>_xlfn.LET(
_xlpm.col,F103:F110,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110" s="1" t="str">
        <f>_xlfn.LET(
_xlpm.col,G103:G110,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110" s="1" t="str">
        <f>_xlfn.LET(
_xlpm.col,H103:H110,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110" s="1" t="str">
        <f>_xlfn.LET(
_xlpm.col,I103:I110,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110" s="1" t="str">
        <f>_xlfn.LET(
_xlpm.col,J103:J110,
_xlpm.s,COUNTIF(_xlpm.col,"S"),
_xlpm.n,COUNTIF(_xlpm.col,"N"),
_xlpm.c,COUNTIF(_xlpm.col,"C"),
_xlpm.na,COUNTIF(_xlpm.col,"N/A"),
_xlpm.m,MAX(_xlpm.s,_xlpm.n,_xlpm.c,_xlpm.na),
IF(_xlpm.m=_xlpm.s,"S",IF(_xlpm.m=_xlpm.n,"N",IF(_xlpm.m=_xlpm.c,"C","N/A")))
)</f>
        <v>N</v>
      </c>
      <c r="W110" s="2">
        <f>IFERROR(
( COUNTIF(D103:J110,"S") + 0.5*COUNTIF(D103:J110,"C") )
/
( COUNTIF(D103:J110,"S") + COUNTIF(D103:J110,"C") + COUNTIF(D103:J110,"N") )
*100,0)</f>
        <v>74.444444444444443</v>
      </c>
    </row>
    <row r="111" spans="1:23" ht="60" x14ac:dyDescent="0.25">
      <c r="A111" s="5" t="s">
        <v>19</v>
      </c>
      <c r="B111" s="4" t="s">
        <v>18</v>
      </c>
      <c r="C111" s="4" t="s">
        <v>17</v>
      </c>
      <c r="D111" s="3" t="s">
        <v>1</v>
      </c>
      <c r="E111" s="3" t="s">
        <v>3</v>
      </c>
      <c r="F111" s="3" t="s">
        <v>3</v>
      </c>
      <c r="G111" s="3" t="s">
        <v>1</v>
      </c>
      <c r="H111" s="3" t="s">
        <v>1</v>
      </c>
      <c r="I111" s="3" t="s">
        <v>4</v>
      </c>
      <c r="J111" s="3" t="s">
        <v>3</v>
      </c>
      <c r="K111" s="1">
        <f>IFERROR(
( COUNTIF(D111:J111,"S") + 0.5*COUNTIF(D111:J111,"C") )
/
( COUNTIF(D111:J111,"S") + COUNTIF(D111:J111,"C") + COUNTIF(D111:J111,"N") )
*100,0)</f>
        <v>87.5</v>
      </c>
      <c r="L111" s="1">
        <f>COUNTIF(D111:J111,"S")</f>
        <v>3</v>
      </c>
      <c r="M111" s="1">
        <f>COUNTIF(D111:J111,"C")</f>
        <v>1</v>
      </c>
      <c r="N111" s="1">
        <f>COUNTIF(D111:J111,"N")</f>
        <v>0</v>
      </c>
    </row>
    <row r="112" spans="1:23" ht="60" x14ac:dyDescent="0.25">
      <c r="A112" s="5"/>
      <c r="B112" s="4" t="s">
        <v>16</v>
      </c>
      <c r="C112" s="4" t="s">
        <v>15</v>
      </c>
      <c r="D112" s="3" t="s">
        <v>193</v>
      </c>
      <c r="E112" s="3" t="s">
        <v>4</v>
      </c>
      <c r="F112" s="3" t="s">
        <v>3</v>
      </c>
      <c r="G112" s="3" t="s">
        <v>193</v>
      </c>
      <c r="H112" s="3" t="s">
        <v>193</v>
      </c>
      <c r="I112" s="3" t="s">
        <v>193</v>
      </c>
      <c r="J112" s="3" t="s">
        <v>194</v>
      </c>
      <c r="K112" s="1">
        <f>IFERROR(
( COUNTIF(D112:J112,"S") + 0.5*COUNTIF(D112:J112,"C") )
/
( COUNTIF(D112:J112,"S") + COUNTIF(D112:J112,"C") + COUNTIF(D112:J112,"N") )
*100,0)</f>
        <v>50</v>
      </c>
      <c r="L112" s="1">
        <f>COUNTIF(D112:J112,"S")</f>
        <v>0</v>
      </c>
      <c r="M112" s="1">
        <f>COUNTIF(D112:J112,"C")</f>
        <v>1</v>
      </c>
      <c r="N112" s="1">
        <f>COUNTIF(D112:J112,"N")</f>
        <v>0</v>
      </c>
    </row>
    <row r="113" spans="1:23" ht="45" x14ac:dyDescent="0.25">
      <c r="A113" s="5"/>
      <c r="B113" s="4" t="s">
        <v>14</v>
      </c>
      <c r="C113" s="4" t="s">
        <v>13</v>
      </c>
      <c r="D113" s="3" t="s">
        <v>1</v>
      </c>
      <c r="E113" s="3" t="s">
        <v>1</v>
      </c>
      <c r="F113" s="3" t="s">
        <v>3</v>
      </c>
      <c r="G113" s="3" t="s">
        <v>1</v>
      </c>
      <c r="H113" s="3" t="s">
        <v>1</v>
      </c>
      <c r="I113" s="3" t="s">
        <v>1</v>
      </c>
      <c r="J113" s="3" t="s">
        <v>1</v>
      </c>
      <c r="K113" s="1">
        <f>IFERROR(
( COUNTIF(D113:J113,"S") + 0.5*COUNTIF(D113:J113,"C") )
/
( COUNTIF(D113:J113,"S") + COUNTIF(D113:J113,"C") + COUNTIF(D113:J113,"N") )
*100,0)</f>
        <v>100</v>
      </c>
      <c r="L113" s="1">
        <f>COUNTIF(D113:J113,"S")</f>
        <v>6</v>
      </c>
      <c r="M113" s="1">
        <f>COUNTIF(D113:J113,"C")</f>
        <v>0</v>
      </c>
      <c r="N113" s="1">
        <f>COUNTIF(D113:J113,"N")</f>
        <v>0</v>
      </c>
    </row>
    <row r="114" spans="1:23" ht="60" x14ac:dyDescent="0.25">
      <c r="A114" s="5"/>
      <c r="B114" s="4" t="s">
        <v>12</v>
      </c>
      <c r="C114" s="4" t="s">
        <v>195</v>
      </c>
      <c r="D114" s="3" t="s">
        <v>194</v>
      </c>
      <c r="E114" s="3" t="s">
        <v>1</v>
      </c>
      <c r="F114" s="3" t="s">
        <v>3</v>
      </c>
      <c r="G114" s="3" t="s">
        <v>1</v>
      </c>
      <c r="H114" s="3" t="s">
        <v>1</v>
      </c>
      <c r="I114" s="3" t="s">
        <v>4</v>
      </c>
      <c r="J114" s="3" t="s">
        <v>4</v>
      </c>
      <c r="K114" s="1">
        <f>IFERROR(
( COUNTIF(D114:J114,"S") + 0.5*COUNTIF(D114:J114,"C") )
/
( COUNTIF(D114:J114,"S") + COUNTIF(D114:J114,"C") + COUNTIF(D114:J114,"N") )
*100,0)</f>
        <v>80</v>
      </c>
      <c r="L114" s="1">
        <f>COUNTIF(D114:J114,"S")</f>
        <v>3</v>
      </c>
      <c r="M114" s="1">
        <f>COUNTIF(D114:J114,"C")</f>
        <v>2</v>
      </c>
      <c r="N114" s="1">
        <f>COUNTIF(D114:J114,"N")</f>
        <v>0</v>
      </c>
    </row>
    <row r="115" spans="1:23" ht="45" x14ac:dyDescent="0.25">
      <c r="A115" s="5"/>
      <c r="B115" s="4" t="s">
        <v>11</v>
      </c>
      <c r="C115" s="4" t="s">
        <v>10</v>
      </c>
      <c r="D115" s="3" t="s">
        <v>1</v>
      </c>
      <c r="E115" s="3" t="s">
        <v>1</v>
      </c>
      <c r="F115" s="3" t="s">
        <v>3</v>
      </c>
      <c r="G115" s="3" t="s">
        <v>1</v>
      </c>
      <c r="H115" s="3" t="s">
        <v>1</v>
      </c>
      <c r="I115" s="3" t="s">
        <v>1</v>
      </c>
      <c r="J115" s="3" t="s">
        <v>1</v>
      </c>
      <c r="K115" s="1">
        <f>IFERROR(
( COUNTIF(D115:J115,"S") + 0.5*COUNTIF(D115:J115,"C") )
/
( COUNTIF(D115:J115,"S") + COUNTIF(D115:J115,"C") + COUNTIF(D115:J115,"N") )
*100,0)</f>
        <v>100</v>
      </c>
      <c r="L115" s="1">
        <f>COUNTIF(D115:J115,"S")</f>
        <v>6</v>
      </c>
      <c r="M115" s="1">
        <f>COUNTIF(D115:J115,"C")</f>
        <v>0</v>
      </c>
      <c r="N115" s="1">
        <f>COUNTIF(D115:J115,"N")</f>
        <v>0</v>
      </c>
    </row>
    <row r="116" spans="1:23" ht="45" x14ac:dyDescent="0.25">
      <c r="A116" s="5"/>
      <c r="B116" s="4" t="s">
        <v>9</v>
      </c>
      <c r="C116" s="4" t="s">
        <v>8</v>
      </c>
      <c r="D116" s="3" t="s">
        <v>1</v>
      </c>
      <c r="E116" s="3" t="s">
        <v>2</v>
      </c>
      <c r="F116" s="3" t="s">
        <v>3</v>
      </c>
      <c r="G116" s="3" t="s">
        <v>1</v>
      </c>
      <c r="H116" s="3" t="s">
        <v>2</v>
      </c>
      <c r="I116" s="3" t="s">
        <v>4</v>
      </c>
      <c r="J116" s="3" t="s">
        <v>4</v>
      </c>
      <c r="K116" s="1">
        <f>IFERROR(
( COUNTIF(D116:J116,"S") + 0.5*COUNTIF(D116:J116,"C") )
/
( COUNTIF(D116:J116,"S") + COUNTIF(D116:J116,"C") + COUNTIF(D116:J116,"N") )
*100,0)</f>
        <v>50</v>
      </c>
      <c r="L116" s="1">
        <f>COUNTIF(D116:J116,"S")</f>
        <v>2</v>
      </c>
      <c r="M116" s="1">
        <f>COUNTIF(D116:J116,"C")</f>
        <v>2</v>
      </c>
      <c r="N116" s="1">
        <f>COUNTIF(D116:J116,"N")</f>
        <v>2</v>
      </c>
    </row>
    <row r="117" spans="1:23" ht="45" x14ac:dyDescent="0.25">
      <c r="A117" s="5"/>
      <c r="B117" s="4" t="s">
        <v>7</v>
      </c>
      <c r="C117" s="4" t="s">
        <v>192</v>
      </c>
      <c r="D117" s="3" t="s">
        <v>1</v>
      </c>
      <c r="E117" s="3" t="s">
        <v>1</v>
      </c>
      <c r="F117" s="3" t="s">
        <v>3</v>
      </c>
      <c r="G117" s="3" t="s">
        <v>1</v>
      </c>
      <c r="H117" s="3" t="s">
        <v>1</v>
      </c>
      <c r="I117" s="3" t="s">
        <v>1</v>
      </c>
      <c r="J117" s="3" t="s">
        <v>2</v>
      </c>
      <c r="K117" s="1">
        <f>IFERROR(
( COUNTIF(D117:J117,"S") + 0.5*COUNTIF(D117:J117,"C") )
/
( COUNTIF(D117:J117,"S") + COUNTIF(D117:J117,"C") + COUNTIF(D117:J117,"N") )
*100,0)</f>
        <v>83.333333333333343</v>
      </c>
      <c r="L117" s="1">
        <f>COUNTIF(D117:J117,"S")</f>
        <v>5</v>
      </c>
      <c r="M117" s="1">
        <f>COUNTIF(D117:J117,"C")</f>
        <v>0</v>
      </c>
      <c r="N117" s="1">
        <f>COUNTIF(D117:J117,"N")</f>
        <v>1</v>
      </c>
    </row>
    <row r="118" spans="1:23" ht="60" x14ac:dyDescent="0.25">
      <c r="A118" s="5"/>
      <c r="B118" s="4" t="s">
        <v>6</v>
      </c>
      <c r="C118" s="4" t="s">
        <v>5</v>
      </c>
      <c r="D118" s="3" t="s">
        <v>1</v>
      </c>
      <c r="E118" s="3" t="s">
        <v>1</v>
      </c>
      <c r="F118" s="3" t="s">
        <v>3</v>
      </c>
      <c r="G118" s="3" t="s">
        <v>1</v>
      </c>
      <c r="H118" s="3" t="s">
        <v>2</v>
      </c>
      <c r="I118" s="3" t="s">
        <v>1</v>
      </c>
      <c r="J118" s="3" t="s">
        <v>4</v>
      </c>
      <c r="K118" s="1">
        <f>IFERROR(
( COUNTIF(D118:J118,"S") + 0.5*COUNTIF(D118:J118,"C") )
/
( COUNTIF(D118:J118,"S") + COUNTIF(D118:J118,"C") + COUNTIF(D118:J118,"N") )
*100,0)</f>
        <v>75</v>
      </c>
      <c r="L118" s="1">
        <f>COUNTIF(D118:J118,"S")</f>
        <v>4</v>
      </c>
      <c r="M118" s="1">
        <f>COUNTIF(D118:J118,"C")</f>
        <v>1</v>
      </c>
      <c r="N118" s="1">
        <f>COUNTIF(D118:J118,"N")</f>
        <v>1</v>
      </c>
      <c r="P118" s="1" t="str">
        <f>_xlfn.LET(
_xlpm.col,D111:D118,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Q118" s="1" t="str">
        <f>_xlfn.LET(
_xlpm.col,E111:E118,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R118" s="1" t="str">
        <f>_xlfn.LET(
_xlpm.col,F111:F118,
_xlpm.s,COUNTIF(_xlpm.col,"S"),
_xlpm.n,COUNTIF(_xlpm.col,"N"),
_xlpm.c,COUNTIF(_xlpm.col,"C"),
_xlpm.na,COUNTIF(_xlpm.col,"N/A"),
_xlpm.m,MAX(_xlpm.s,_xlpm.n,_xlpm.c,_xlpm.na),
IF(_xlpm.m=_xlpm.s,"S",IF(_xlpm.m=_xlpm.n,"N",IF(_xlpm.m=_xlpm.c,"C","N/A")))
)</f>
        <v>N/A</v>
      </c>
      <c r="S118" s="1" t="str">
        <f>_xlfn.LET(
_xlpm.col,G111:G118,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T118" s="1" t="str">
        <f>_xlfn.LET(
_xlpm.col,H111:H118,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U118" s="1" t="str">
        <f>_xlfn.LET(
_xlpm.col,I111:I118,
_xlpm.s,COUNTIF(_xlpm.col,"S"),
_xlpm.n,COUNTIF(_xlpm.col,"N"),
_xlpm.c,COUNTIF(_xlpm.col,"C"),
_xlpm.na,COUNTIF(_xlpm.col,"N/A"),
_xlpm.m,MAX(_xlpm.s,_xlpm.n,_xlpm.c,_xlpm.na),
IF(_xlpm.m=_xlpm.s,"S",IF(_xlpm.m=_xlpm.n,"N",IF(_xlpm.m=_xlpm.c,"C","N/A")))
)</f>
        <v>S</v>
      </c>
      <c r="V118" s="1" t="str">
        <f>_xlfn.LET(
_xlpm.col,J111:J118,
_xlpm.s,COUNTIF(_xlpm.col,"S"),
_xlpm.n,COUNTIF(_xlpm.col,"N"),
_xlpm.c,COUNTIF(_xlpm.col,"C"),
_xlpm.na,COUNTIF(_xlpm.col,"N/A"),
_xlpm.m,MAX(_xlpm.s,_xlpm.n,_xlpm.c,_xlpm.na),
IF(_xlpm.m=_xlpm.s,"S",IF(_xlpm.m=_xlpm.n,"N",IF(_xlpm.m=_xlpm.c,"C","N/A")))
)</f>
        <v>C</v>
      </c>
      <c r="W118" s="2">
        <f>IFERROR(
( COUNTIF(D111:J118,"S") + 0.5*COUNTIF(D111:J118,"C") )
/
( COUNTIF(D111:J118,"S") + COUNTIF(D111:J118,"C") + COUNTIF(D111:J118,"N") )
*100,0)</f>
        <v>81.25</v>
      </c>
    </row>
  </sheetData>
  <mergeCells count="17">
    <mergeCell ref="A87:A94"/>
    <mergeCell ref="A95:A102"/>
    <mergeCell ref="A103:A110"/>
    <mergeCell ref="A111:A118"/>
    <mergeCell ref="A71:A77"/>
    <mergeCell ref="P1:V1"/>
    <mergeCell ref="A50:A52"/>
    <mergeCell ref="A56:A61"/>
    <mergeCell ref="A62:A63"/>
    <mergeCell ref="A79:A86"/>
    <mergeCell ref="A64:A70"/>
    <mergeCell ref="A1:A12"/>
    <mergeCell ref="A14:A21"/>
    <mergeCell ref="A22:A25"/>
    <mergeCell ref="A26:A41"/>
    <mergeCell ref="A43:A46"/>
    <mergeCell ref="A47:A49"/>
  </mergeCells>
  <conditionalFormatting sqref="K2:K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:K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:K5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9:K1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5:K7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5:W7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Kalkulacje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Praska</dc:creator>
  <cp:lastModifiedBy>Natalia Praska</cp:lastModifiedBy>
  <dcterms:created xsi:type="dcterms:W3CDTF">2026-02-04T17:17:54Z</dcterms:created>
  <dcterms:modified xsi:type="dcterms:W3CDTF">2026-02-04T18:12:21Z</dcterms:modified>
</cp:coreProperties>
</file>
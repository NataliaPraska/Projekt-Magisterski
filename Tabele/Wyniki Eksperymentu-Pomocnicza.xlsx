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mira\Desktop\"/>
    </mc:Choice>
  </mc:AlternateContent>
  <xr:revisionPtr revIDLastSave="0" documentId="13_ncr:1_{C4AA2DCB-5BF9-4AB7-8869-DBE740DD67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G11" i="1"/>
  <c r="I11" i="1"/>
  <c r="E10" i="1"/>
  <c r="G10" i="1"/>
  <c r="I10" i="1"/>
  <c r="C10" i="1"/>
  <c r="C11" i="1"/>
  <c r="O21" i="1"/>
  <c r="N21" i="1"/>
  <c r="M21" i="1"/>
  <c r="L21" i="1"/>
  <c r="L17" i="1"/>
  <c r="O17" i="1"/>
  <c r="N17" i="1"/>
  <c r="M17" i="1"/>
  <c r="O7" i="1"/>
  <c r="O3" i="1"/>
  <c r="N3" i="1"/>
  <c r="N7" i="1"/>
  <c r="M7" i="1"/>
  <c r="M3" i="1"/>
  <c r="L7" i="1"/>
  <c r="L3" i="1"/>
  <c r="C29" i="1"/>
  <c r="C27" i="1"/>
  <c r="C30" i="1"/>
  <c r="C28" i="1"/>
  <c r="K3" i="1"/>
  <c r="K17" i="1"/>
  <c r="K18" i="1"/>
  <c r="K19" i="1"/>
  <c r="K20" i="1"/>
  <c r="K21" i="1"/>
  <c r="C22" i="1"/>
  <c r="E22" i="1"/>
  <c r="G22" i="1"/>
  <c r="I22" i="1"/>
  <c r="C23" i="1"/>
  <c r="E23" i="1"/>
  <c r="G23" i="1"/>
  <c r="I23" i="1"/>
  <c r="K23" i="1"/>
  <c r="K4" i="1"/>
  <c r="K5" i="1"/>
  <c r="K6" i="1"/>
  <c r="K7" i="1"/>
  <c r="E9" i="1"/>
  <c r="G9" i="1"/>
  <c r="I9" i="1"/>
  <c r="K9" i="1" s="1"/>
  <c r="E8" i="1"/>
  <c r="G8" i="1"/>
  <c r="I8" i="1"/>
  <c r="K8" i="1" s="1"/>
  <c r="C9" i="1"/>
  <c r="C8" i="1"/>
  <c r="K22" i="1" l="1"/>
</calcChain>
</file>

<file path=xl/sharedStrings.xml><?xml version="1.0" encoding="utf-8"?>
<sst xmlns="http://schemas.openxmlformats.org/spreadsheetml/2006/main" count="79" uniqueCount="30">
  <si>
    <t>Użytkownik</t>
  </si>
  <si>
    <t>Poziom</t>
  </si>
  <si>
    <t/>
  </si>
  <si>
    <t>Początkujący</t>
  </si>
  <si>
    <t>U2</t>
  </si>
  <si>
    <t>U3</t>
  </si>
  <si>
    <t>U4</t>
  </si>
  <si>
    <t>Zaawansowany</t>
  </si>
  <si>
    <t>U5</t>
  </si>
  <si>
    <t>U6</t>
  </si>
  <si>
    <t>U7</t>
  </si>
  <si>
    <t>U8</t>
  </si>
  <si>
    <t>U9</t>
  </si>
  <si>
    <t>U10</t>
  </si>
  <si>
    <t>Zadanie 2</t>
  </si>
  <si>
    <t>Zadanie 1</t>
  </si>
  <si>
    <t>Zadanie 3</t>
  </si>
  <si>
    <t>Zadanie 4</t>
  </si>
  <si>
    <t>Czas na zadanie</t>
  </si>
  <si>
    <t>Zaawansowani</t>
  </si>
  <si>
    <t>Scenariusz A</t>
  </si>
  <si>
    <t>Scenariusz B</t>
  </si>
  <si>
    <t>Czas ukończenia scenariusza</t>
  </si>
  <si>
    <t>2/3</t>
  </si>
  <si>
    <t>0/2</t>
  </si>
  <si>
    <t>1/3</t>
  </si>
  <si>
    <t>3/3</t>
  </si>
  <si>
    <t xml:space="preserve">N </t>
  </si>
  <si>
    <t>Średnia czasu / osoby z błędem</t>
  </si>
  <si>
    <t>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</si>
</sst>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3.5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1" fillId="3" borderId="0" xfId="2"/>
    <xf numFmtId="0" fontId="1" fillId="2" borderId="0" xfId="1"/>
    <xf numFmtId="0" fontId="1" fillId="3" borderId="0" xfId="2" applyAlignment="1">
      <alignment horizontal="center" wrapText="1"/>
    </xf>
    <xf numFmtId="2" fontId="1" fillId="2" borderId="0" xfId="1" applyNumberFormat="1" applyAlignment="1">
      <alignment horizontal="center"/>
    </xf>
    <xf numFmtId="49" fontId="1" fillId="2" borderId="0" xfId="1" applyNumberFormat="1" applyAlignment="1">
      <alignment horizontal="center"/>
    </xf>
    <xf numFmtId="0" fontId="1" fillId="3" borderId="0" xfId="2" applyAlignment="1">
      <alignment horizontal="center"/>
    </xf>
  </cellXfs>
  <cellStyles count="3">
    <cellStyle name="20% - Accent1" xfId="1" builtinId="30"/>
    <cellStyle name="60% - Accent1" xfId="2" builtinId="32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workbookViewId="0">
      <selection activeCell="P22" sqref="P22"/>
    </sheetView>
  </sheetViews>
  <sheetFormatPr defaultRowHeight="15.75" x14ac:dyDescent="0.25"/>
  <cols>
    <col min="1" max="1" width="15.375" customWidth="1"/>
    <col min="2" max="2" width="14" customWidth="1"/>
    <col min="3" max="3" width="15.875" customWidth="1"/>
    <col min="4" max="4" width="6" bestFit="1" customWidth="1"/>
    <col min="5" max="5" width="16.875" customWidth="1"/>
    <col min="6" max="6" width="7.5" bestFit="1" customWidth="1"/>
    <col min="7" max="7" width="15.5" customWidth="1"/>
    <col min="8" max="8" width="6" bestFit="1" customWidth="1"/>
    <col min="9" max="9" width="16.5" customWidth="1"/>
    <col min="10" max="10" width="6" bestFit="1" customWidth="1"/>
    <col min="11" max="11" width="15.375" customWidth="1"/>
    <col min="12" max="12" width="6.875" bestFit="1" customWidth="1"/>
    <col min="13" max="13" width="5.875" customWidth="1"/>
  </cols>
  <sheetData>
    <row r="1" spans="1:17" ht="28.5" customHeight="1" x14ac:dyDescent="0.25">
      <c r="A1" s="10" t="s">
        <v>0</v>
      </c>
      <c r="B1" s="10" t="s">
        <v>1</v>
      </c>
      <c r="C1" s="15" t="s">
        <v>15</v>
      </c>
      <c r="D1" s="15"/>
      <c r="E1" s="15" t="s">
        <v>14</v>
      </c>
      <c r="F1" s="15"/>
      <c r="G1" s="15" t="s">
        <v>16</v>
      </c>
      <c r="H1" s="15"/>
      <c r="I1" s="15" t="s">
        <v>17</v>
      </c>
      <c r="J1" s="15"/>
      <c r="K1" s="12" t="s">
        <v>22</v>
      </c>
    </row>
    <row r="2" spans="1:17" x14ac:dyDescent="0.25">
      <c r="A2" t="s">
        <v>20</v>
      </c>
      <c r="B2" t="s">
        <v>2</v>
      </c>
      <c r="C2" s="8" t="s">
        <v>18</v>
      </c>
      <c r="D2" s="8" t="s">
        <v>27</v>
      </c>
      <c r="E2" s="8" t="s">
        <v>18</v>
      </c>
      <c r="F2" s="8" t="s">
        <v>27</v>
      </c>
      <c r="G2" s="8" t="s">
        <v>18</v>
      </c>
      <c r="H2" s="8" t="s">
        <v>27</v>
      </c>
      <c r="I2" s="8" t="s">
        <v>18</v>
      </c>
      <c r="J2" s="8" t="s">
        <v>27</v>
      </c>
    </row>
    <row r="3" spans="1:17" x14ac:dyDescent="0.25">
      <c r="A3" t="s">
        <v>29</v>
      </c>
      <c r="B3" t="s">
        <v>3</v>
      </c>
      <c r="C3" s="8">
        <v>104.54</v>
      </c>
      <c r="D3" s="8">
        <v>0</v>
      </c>
      <c r="E3" s="8">
        <v>98.16</v>
      </c>
      <c r="F3" s="8">
        <v>2</v>
      </c>
      <c r="G3" s="8">
        <v>84.75</v>
      </c>
      <c r="H3" s="8">
        <v>1</v>
      </c>
      <c r="I3" s="8">
        <v>78.52</v>
      </c>
      <c r="J3" s="8">
        <v>0</v>
      </c>
      <c r="K3" s="8">
        <f>SUM(I3,G3,E3,C3)</f>
        <v>365.96999999999997</v>
      </c>
      <c r="L3">
        <f>MEDIAN(C3:C5)</f>
        <v>104.54</v>
      </c>
      <c r="M3">
        <f>MEDIAN(E3:E5)</f>
        <v>98.16</v>
      </c>
      <c r="N3">
        <f>MEDIAN(G3:G5)</f>
        <v>99.11</v>
      </c>
      <c r="O3">
        <f>MEDIAN(I3:I5)</f>
        <v>78.52</v>
      </c>
      <c r="P3" s="1"/>
      <c r="Q3" s="1"/>
    </row>
    <row r="4" spans="1:17" x14ac:dyDescent="0.25">
      <c r="A4" t="s">
        <v>4</v>
      </c>
      <c r="B4" t="s">
        <v>3</v>
      </c>
      <c r="C4" s="8">
        <v>96.85</v>
      </c>
      <c r="D4" s="8">
        <v>0</v>
      </c>
      <c r="E4" s="8">
        <v>93.23</v>
      </c>
      <c r="F4" s="8">
        <v>2</v>
      </c>
      <c r="G4" s="8">
        <v>118.09</v>
      </c>
      <c r="H4" s="8">
        <v>4</v>
      </c>
      <c r="I4" s="8">
        <v>106.98</v>
      </c>
      <c r="J4" s="8">
        <v>1</v>
      </c>
      <c r="K4" s="8">
        <f t="shared" ref="K4:K9" si="0">SUM(I4,G4,E4,C4)</f>
        <v>415.15</v>
      </c>
      <c r="P4" s="1"/>
      <c r="Q4" s="1"/>
    </row>
    <row r="5" spans="1:17" x14ac:dyDescent="0.25">
      <c r="A5" t="s">
        <v>5</v>
      </c>
      <c r="B5" t="s">
        <v>3</v>
      </c>
      <c r="C5" s="8">
        <v>110.98</v>
      </c>
      <c r="D5" s="8">
        <v>1</v>
      </c>
      <c r="E5" s="8">
        <v>123.02</v>
      </c>
      <c r="F5" s="8">
        <v>3</v>
      </c>
      <c r="G5" s="8">
        <v>99.11</v>
      </c>
      <c r="H5" s="8">
        <v>2</v>
      </c>
      <c r="I5" s="8">
        <v>69.75</v>
      </c>
      <c r="J5" s="8">
        <v>0</v>
      </c>
      <c r="K5" s="8">
        <f t="shared" si="0"/>
        <v>402.86</v>
      </c>
      <c r="Q5" s="1"/>
    </row>
    <row r="6" spans="1:17" x14ac:dyDescent="0.25">
      <c r="A6" t="s">
        <v>6</v>
      </c>
      <c r="B6" t="s">
        <v>7</v>
      </c>
      <c r="C6" s="8">
        <v>78.31</v>
      </c>
      <c r="D6" s="8">
        <v>0</v>
      </c>
      <c r="E6" s="8">
        <v>78.319999999999993</v>
      </c>
      <c r="F6" s="8">
        <v>0</v>
      </c>
      <c r="G6" s="8">
        <v>27.98</v>
      </c>
      <c r="H6" s="8">
        <v>0</v>
      </c>
      <c r="I6" s="8">
        <v>55.43</v>
      </c>
      <c r="J6" s="8">
        <v>0</v>
      </c>
      <c r="K6" s="8">
        <f t="shared" si="0"/>
        <v>240.04</v>
      </c>
      <c r="Q6" s="1"/>
    </row>
    <row r="7" spans="1:17" x14ac:dyDescent="0.25">
      <c r="A7" t="s">
        <v>8</v>
      </c>
      <c r="B7" t="s">
        <v>7</v>
      </c>
      <c r="C7" s="8">
        <v>73.73</v>
      </c>
      <c r="D7" s="8">
        <v>0</v>
      </c>
      <c r="E7" s="8">
        <v>65.25</v>
      </c>
      <c r="F7" s="8">
        <v>0</v>
      </c>
      <c r="G7" s="8">
        <v>37.770000000000003</v>
      </c>
      <c r="H7" s="8">
        <v>0</v>
      </c>
      <c r="I7" s="8">
        <v>59.01</v>
      </c>
      <c r="J7" s="8">
        <v>0</v>
      </c>
      <c r="K7" s="8">
        <f t="shared" si="0"/>
        <v>235.76</v>
      </c>
      <c r="L7">
        <f>MEDIAN(C6:C7)</f>
        <v>76.02000000000001</v>
      </c>
      <c r="M7">
        <f>MEDIAN(E6:E7)</f>
        <v>71.784999999999997</v>
      </c>
      <c r="N7">
        <f>MEDIAN(G6:G7)</f>
        <v>32.875</v>
      </c>
      <c r="O7">
        <f>MEDIAN(I6:I7)</f>
        <v>57.22</v>
      </c>
      <c r="Q7" s="1"/>
    </row>
    <row r="8" spans="1:17" ht="31.5" x14ac:dyDescent="0.25">
      <c r="A8" s="1" t="s">
        <v>28</v>
      </c>
      <c r="B8" s="11" t="s">
        <v>3</v>
      </c>
      <c r="C8" s="13">
        <f>AVERAGE(C3:C5)</f>
        <v>104.12333333333333</v>
      </c>
      <c r="D8" s="14" t="s">
        <v>25</v>
      </c>
      <c r="E8" s="13">
        <f t="shared" ref="E8:I8" si="1">AVERAGE(E3:E5)</f>
        <v>104.80333333333333</v>
      </c>
      <c r="F8" s="14" t="s">
        <v>26</v>
      </c>
      <c r="G8" s="13">
        <f t="shared" si="1"/>
        <v>100.64999999999999</v>
      </c>
      <c r="H8" s="14" t="s">
        <v>26</v>
      </c>
      <c r="I8" s="13">
        <f t="shared" si="1"/>
        <v>85.083333333333329</v>
      </c>
      <c r="J8" s="14" t="s">
        <v>25</v>
      </c>
      <c r="K8" s="13">
        <f t="shared" si="0"/>
        <v>394.65999999999997</v>
      </c>
      <c r="Q8" s="1"/>
    </row>
    <row r="9" spans="1:17" ht="39" customHeight="1" x14ac:dyDescent="0.25">
      <c r="A9" s="1" t="s">
        <v>28</v>
      </c>
      <c r="B9" s="11" t="s">
        <v>19</v>
      </c>
      <c r="C9" s="13">
        <f>AVERAGE(C6:C7)</f>
        <v>76.02000000000001</v>
      </c>
      <c r="D9" s="14" t="s">
        <v>24</v>
      </c>
      <c r="E9" s="13">
        <f t="shared" ref="E9:I9" si="2">AVERAGE(E6:E7)</f>
        <v>71.784999999999997</v>
      </c>
      <c r="F9" s="14" t="s">
        <v>24</v>
      </c>
      <c r="G9" s="13">
        <f t="shared" si="2"/>
        <v>32.875</v>
      </c>
      <c r="H9" s="14" t="s">
        <v>24</v>
      </c>
      <c r="I9" s="13">
        <f t="shared" si="2"/>
        <v>57.22</v>
      </c>
      <c r="J9" s="14" t="s">
        <v>24</v>
      </c>
      <c r="K9" s="13">
        <f t="shared" si="0"/>
        <v>237.9</v>
      </c>
      <c r="Q9" s="1"/>
    </row>
    <row r="10" spans="1:17" x14ac:dyDescent="0.25">
      <c r="C10">
        <f>MIN(C3:C5)</f>
        <v>96.85</v>
      </c>
      <c r="E10">
        <f t="shared" ref="D10:I10" si="3">MIN(E3:E5)</f>
        <v>93.23</v>
      </c>
      <c r="G10">
        <f t="shared" si="3"/>
        <v>84.75</v>
      </c>
      <c r="I10">
        <f t="shared" si="3"/>
        <v>69.75</v>
      </c>
      <c r="Q10" s="1"/>
    </row>
    <row r="11" spans="1:17" x14ac:dyDescent="0.25">
      <c r="C11">
        <f>MAX(C3:C5)</f>
        <v>110.98</v>
      </c>
      <c r="E11">
        <f t="shared" ref="D11:I11" si="4">MAX(E3:E5)</f>
        <v>123.02</v>
      </c>
      <c r="G11">
        <f t="shared" si="4"/>
        <v>118.09</v>
      </c>
      <c r="I11">
        <f t="shared" si="4"/>
        <v>106.98</v>
      </c>
      <c r="Q11" s="1"/>
    </row>
    <row r="12" spans="1:17" x14ac:dyDescent="0.25">
      <c r="Q12" s="1"/>
    </row>
    <row r="13" spans="1:17" x14ac:dyDescent="0.25">
      <c r="Q13" s="1"/>
    </row>
    <row r="14" spans="1:17" x14ac:dyDescent="0.25">
      <c r="M14" s="1"/>
      <c r="N14" s="1"/>
      <c r="O14" s="1"/>
      <c r="P14" s="1"/>
      <c r="Q14" s="1"/>
    </row>
    <row r="15" spans="1:17" ht="30" x14ac:dyDescent="0.25">
      <c r="A15" s="10" t="s">
        <v>0</v>
      </c>
      <c r="B15" s="10" t="s">
        <v>1</v>
      </c>
      <c r="C15" s="15" t="s">
        <v>15</v>
      </c>
      <c r="D15" s="15"/>
      <c r="E15" s="15" t="s">
        <v>14</v>
      </c>
      <c r="F15" s="15"/>
      <c r="G15" s="15" t="s">
        <v>16</v>
      </c>
      <c r="H15" s="15"/>
      <c r="I15" s="15" t="s">
        <v>17</v>
      </c>
      <c r="J15" s="15"/>
      <c r="K15" s="12" t="s">
        <v>22</v>
      </c>
      <c r="L15" s="1"/>
      <c r="M15" s="1"/>
      <c r="N15" s="1"/>
      <c r="O15" s="1"/>
      <c r="P15" s="1"/>
      <c r="Q15" s="1"/>
    </row>
    <row r="16" spans="1:17" x14ac:dyDescent="0.25">
      <c r="A16" t="s">
        <v>21</v>
      </c>
      <c r="B16" t="s">
        <v>2</v>
      </c>
      <c r="C16" s="8" t="s">
        <v>18</v>
      </c>
      <c r="D16" s="8" t="s">
        <v>27</v>
      </c>
      <c r="E16" s="8" t="s">
        <v>18</v>
      </c>
      <c r="F16" s="8" t="s">
        <v>27</v>
      </c>
      <c r="G16" s="8" t="s">
        <v>18</v>
      </c>
      <c r="H16" s="8" t="s">
        <v>27</v>
      </c>
      <c r="I16" s="8" t="s">
        <v>18</v>
      </c>
      <c r="J16" s="8" t="s">
        <v>27</v>
      </c>
      <c r="K16" s="8" t="s">
        <v>2</v>
      </c>
    </row>
    <row r="17" spans="1:15" x14ac:dyDescent="0.25">
      <c r="A17" t="s">
        <v>9</v>
      </c>
      <c r="B17" t="s">
        <v>3</v>
      </c>
      <c r="C17" s="8">
        <v>148.26</v>
      </c>
      <c r="D17" s="8">
        <v>1</v>
      </c>
      <c r="E17" s="8">
        <v>88.99</v>
      </c>
      <c r="F17" s="8">
        <v>1</v>
      </c>
      <c r="G17" s="8">
        <v>74.55</v>
      </c>
      <c r="H17" s="8">
        <v>1</v>
      </c>
      <c r="I17" s="8">
        <v>139.97</v>
      </c>
      <c r="J17" s="8">
        <v>1</v>
      </c>
      <c r="K17" s="8">
        <f t="shared" ref="K17:K23" si="5">SUM(I17,G17,E17,C17)</f>
        <v>451.77</v>
      </c>
      <c r="L17">
        <f>MEDIAN(C17:C19)</f>
        <v>131.93</v>
      </c>
      <c r="M17">
        <f>MEDIAN(E17:E19)</f>
        <v>82.91</v>
      </c>
      <c r="N17">
        <f>MEDIAN(G17:G19)</f>
        <v>68.37</v>
      </c>
      <c r="O17">
        <f>MEDIAN(I17:I19)</f>
        <v>139.97</v>
      </c>
    </row>
    <row r="18" spans="1:15" x14ac:dyDescent="0.25">
      <c r="A18" t="s">
        <v>10</v>
      </c>
      <c r="B18" t="s">
        <v>3</v>
      </c>
      <c r="C18" s="8">
        <v>124.65</v>
      </c>
      <c r="D18" s="8">
        <v>0</v>
      </c>
      <c r="E18" s="8">
        <v>79.95</v>
      </c>
      <c r="F18" s="8">
        <v>1</v>
      </c>
      <c r="G18" s="8">
        <v>67.91</v>
      </c>
      <c r="H18" s="8">
        <v>0</v>
      </c>
      <c r="I18" s="8">
        <v>220.28</v>
      </c>
      <c r="J18" s="8">
        <v>3</v>
      </c>
      <c r="K18" s="8">
        <f t="shared" si="5"/>
        <v>492.78999999999996</v>
      </c>
      <c r="L18" s="3"/>
    </row>
    <row r="19" spans="1:15" x14ac:dyDescent="0.25">
      <c r="A19" t="s">
        <v>11</v>
      </c>
      <c r="B19" t="s">
        <v>3</v>
      </c>
      <c r="C19" s="8">
        <v>131.93</v>
      </c>
      <c r="D19" s="8">
        <v>1</v>
      </c>
      <c r="E19" s="8">
        <v>82.91</v>
      </c>
      <c r="F19" s="8">
        <v>1</v>
      </c>
      <c r="G19" s="8">
        <v>68.37</v>
      </c>
      <c r="H19" s="8">
        <v>0</v>
      </c>
      <c r="I19" s="8">
        <v>90.91</v>
      </c>
      <c r="J19" s="8">
        <v>0</v>
      </c>
      <c r="K19" s="8">
        <f t="shared" si="5"/>
        <v>374.12</v>
      </c>
      <c r="L19" s="4"/>
    </row>
    <row r="20" spans="1:15" x14ac:dyDescent="0.25">
      <c r="A20" t="s">
        <v>12</v>
      </c>
      <c r="B20" t="s">
        <v>7</v>
      </c>
      <c r="C20" s="8">
        <v>87.17</v>
      </c>
      <c r="D20" s="8">
        <v>0</v>
      </c>
      <c r="E20" s="8">
        <v>52.02</v>
      </c>
      <c r="F20" s="8">
        <v>0</v>
      </c>
      <c r="G20" s="8">
        <v>20.93</v>
      </c>
      <c r="H20" s="8">
        <v>0</v>
      </c>
      <c r="I20" s="8">
        <v>54.21</v>
      </c>
      <c r="J20" s="8">
        <v>0</v>
      </c>
      <c r="K20" s="8">
        <f t="shared" si="5"/>
        <v>214.32999999999998</v>
      </c>
      <c r="L20" s="5"/>
    </row>
    <row r="21" spans="1:15" x14ac:dyDescent="0.25">
      <c r="A21" t="s">
        <v>13</v>
      </c>
      <c r="B21" t="s">
        <v>7</v>
      </c>
      <c r="C21" s="8">
        <v>82.58</v>
      </c>
      <c r="D21" s="8">
        <v>0</v>
      </c>
      <c r="E21" s="8">
        <v>51.25</v>
      </c>
      <c r="F21" s="8">
        <v>0</v>
      </c>
      <c r="G21" s="8">
        <v>22.62</v>
      </c>
      <c r="H21" s="8">
        <v>0</v>
      </c>
      <c r="I21" s="8">
        <v>56.66</v>
      </c>
      <c r="J21" s="8">
        <v>0</v>
      </c>
      <c r="K21" s="8">
        <f t="shared" si="5"/>
        <v>213.11</v>
      </c>
      <c r="L21">
        <f>MEDIAN(C20:C21)</f>
        <v>84.875</v>
      </c>
      <c r="M21">
        <f>MEDIAN(E20:E21)</f>
        <v>51.635000000000005</v>
      </c>
      <c r="N21">
        <f>MEDIAN(G20:G21)</f>
        <v>21.774999999999999</v>
      </c>
      <c r="O21">
        <f>MEDIAN(I20:I21)</f>
        <v>55.435000000000002</v>
      </c>
    </row>
    <row r="22" spans="1:15" ht="31.5" x14ac:dyDescent="0.25">
      <c r="A22" s="1" t="s">
        <v>28</v>
      </c>
      <c r="B22" s="11" t="s">
        <v>3</v>
      </c>
      <c r="C22" s="9">
        <f>AVERAGE(C17:C19)</f>
        <v>134.94666666666666</v>
      </c>
      <c r="D22" s="14" t="s">
        <v>23</v>
      </c>
      <c r="E22" s="9">
        <f t="shared" ref="E22:I22" si="6">AVERAGE(E17:E19)</f>
        <v>83.95</v>
      </c>
      <c r="F22" s="14" t="s">
        <v>26</v>
      </c>
      <c r="G22" s="9">
        <f t="shared" si="6"/>
        <v>70.276666666666657</v>
      </c>
      <c r="H22" s="14" t="s">
        <v>25</v>
      </c>
      <c r="I22" s="9">
        <f t="shared" si="6"/>
        <v>150.38666666666666</v>
      </c>
      <c r="J22" s="14" t="s">
        <v>23</v>
      </c>
      <c r="K22" s="9">
        <f t="shared" si="5"/>
        <v>439.55999999999995</v>
      </c>
      <c r="L22" s="5"/>
    </row>
    <row r="23" spans="1:15" ht="31.5" x14ac:dyDescent="0.25">
      <c r="A23" s="1" t="s">
        <v>28</v>
      </c>
      <c r="B23" s="11" t="s">
        <v>19</v>
      </c>
      <c r="C23" s="9">
        <f>AVERAGE(C20:C21)</f>
        <v>84.875</v>
      </c>
      <c r="D23" s="14" t="s">
        <v>24</v>
      </c>
      <c r="E23" s="9">
        <f t="shared" ref="E23:I23" si="7">AVERAGE(E20:E21)</f>
        <v>51.635000000000005</v>
      </c>
      <c r="F23" s="14" t="s">
        <v>24</v>
      </c>
      <c r="G23" s="9">
        <f t="shared" si="7"/>
        <v>21.774999999999999</v>
      </c>
      <c r="H23" s="14" t="s">
        <v>24</v>
      </c>
      <c r="I23" s="9">
        <f t="shared" si="7"/>
        <v>55.435000000000002</v>
      </c>
      <c r="J23" s="14" t="s">
        <v>24</v>
      </c>
      <c r="K23" s="9">
        <f t="shared" si="5"/>
        <v>213.72000000000003</v>
      </c>
      <c r="L23" s="4"/>
    </row>
    <row r="27" spans="1:15" x14ac:dyDescent="0.25">
      <c r="C27">
        <f>MIN(K3:K5)</f>
        <v>365.96999999999997</v>
      </c>
    </row>
    <row r="28" spans="1:15" x14ac:dyDescent="0.25">
      <c r="C28" s="1">
        <f>MAX(K3:K5)</f>
        <v>415.15</v>
      </c>
    </row>
    <row r="29" spans="1:15" x14ac:dyDescent="0.25">
      <c r="C29">
        <f>MEDIAN(K3:K5)</f>
        <v>402.86</v>
      </c>
    </row>
    <row r="30" spans="1:15" x14ac:dyDescent="0.25">
      <c r="C30">
        <f>C28-C27</f>
        <v>49.180000000000007</v>
      </c>
    </row>
    <row r="32" spans="1:15" x14ac:dyDescent="0.25">
      <c r="L32" s="5"/>
    </row>
    <row r="33" spans="12:12" x14ac:dyDescent="0.25">
      <c r="L33" s="6"/>
    </row>
    <row r="34" spans="12:12" x14ac:dyDescent="0.25">
      <c r="L34" s="4"/>
    </row>
    <row r="35" spans="12:12" x14ac:dyDescent="0.25">
      <c r="L35" s="5"/>
    </row>
    <row r="36" spans="12:12" x14ac:dyDescent="0.25">
      <c r="L36" s="5"/>
    </row>
    <row r="37" spans="12:12" x14ac:dyDescent="0.25">
      <c r="L37" s="7"/>
    </row>
    <row r="40" spans="12:12" ht="17.25" x14ac:dyDescent="0.25">
      <c r="L40" s="2"/>
    </row>
    <row r="41" spans="12:12" x14ac:dyDescent="0.25">
      <c r="L41" s="3"/>
    </row>
    <row r="42" spans="12:12" x14ac:dyDescent="0.25">
      <c r="L42" s="4"/>
    </row>
    <row r="43" spans="12:12" x14ac:dyDescent="0.25">
      <c r="L43" s="5"/>
    </row>
    <row r="44" spans="12:12" x14ac:dyDescent="0.25">
      <c r="L44" s="5"/>
    </row>
    <row r="45" spans="12:12" x14ac:dyDescent="0.25">
      <c r="L45" s="4"/>
    </row>
    <row r="46" spans="12:12" x14ac:dyDescent="0.25">
      <c r="L46" s="5"/>
    </row>
    <row r="47" spans="12:12" x14ac:dyDescent="0.25">
      <c r="L47" s="5"/>
    </row>
    <row r="48" spans="12:12" x14ac:dyDescent="0.25">
      <c r="L48" s="5"/>
    </row>
    <row r="49" spans="12:12" x14ac:dyDescent="0.25">
      <c r="L49" s="4"/>
    </row>
    <row r="50" spans="12:12" x14ac:dyDescent="0.25">
      <c r="L50" s="5"/>
    </row>
    <row r="51" spans="12:12" x14ac:dyDescent="0.25">
      <c r="L51" s="5"/>
    </row>
    <row r="52" spans="12:12" x14ac:dyDescent="0.25">
      <c r="L52" s="5"/>
    </row>
  </sheetData>
  <mergeCells count="8">
    <mergeCell ref="C15:D15"/>
    <mergeCell ref="E15:F15"/>
    <mergeCell ref="G15:H15"/>
    <mergeCell ref="I15:J15"/>
    <mergeCell ref="C1:D1"/>
    <mergeCell ref="E1:F1"/>
    <mergeCell ref="G1:H1"/>
    <mergeCell ref="I1:J1"/>
  </mergeCells>
  <pageMargins left="0.7" right="0.7" top="0.75" bottom="0.75" header="0.3" footer="0.3"/>
  <ignoredErrors>
    <ignoredError sqref="A1:B1 A4:B7 B2" numberStoredAsText="1"/>
    <ignoredError sqref="C8:C9 E8:E9 G9 C22 G8 I8 I9 C23 E23 G23 I23 E22 G22 I2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Esmira</dc:creator>
  <cp:lastModifiedBy>Natalia Praska</cp:lastModifiedBy>
  <dcterms:created xsi:type="dcterms:W3CDTF">2026-02-14T07:35:45Z</dcterms:created>
  <dcterms:modified xsi:type="dcterms:W3CDTF">2026-02-15T00:22:27Z</dcterms:modified>
</cp:coreProperties>
</file>
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smira\Desktop\"/>
    </mc:Choice>
  </mc:AlternateContent>
  <xr:revisionPtr revIDLastSave="0" documentId="13_ncr:1_{52F10C73-96FF-4533-AB13-2779E87E7867}" xr6:coauthVersionLast="47" xr6:coauthVersionMax="47" xr10:uidLastSave="{00000000-0000-0000-0000-000000000000}"/>
  <bookViews>
    <workbookView xWindow="-28920" yWindow="-120" windowWidth="29040" windowHeight="16440" activeTab="2" xr2:uid="{00000000-000D-0000-FFFF-FFFF00000000}"/>
  </bookViews>
  <sheets>
    <sheet name="1. Interfejsy" sheetId="1" r:id="rId1"/>
    <sheet name="2. Ekwipunek" sheetId="2" r:id="rId2"/>
    <sheet name="3. Lokomocja" sheetId="3" r:id="rId3"/>
    <sheet name="4. Informacja zwrotna" sheetId="4" r:id="rId4"/>
  </sheets>
  <externalReferences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1" l="1"/>
  <c r="I5" i="1"/>
  <c r="I4" i="1"/>
  <c r="I3" i="1"/>
  <c r="I2" i="1"/>
  <c r="I4" i="2"/>
  <c r="I3" i="2"/>
  <c r="I2" i="2"/>
  <c r="I7" i="3"/>
  <c r="I2" i="3"/>
  <c r="I6" i="3"/>
  <c r="I5" i="3"/>
  <c r="I4" i="3"/>
  <c r="I3" i="3"/>
  <c r="I3" i="4"/>
  <c r="I4" i="4"/>
  <c r="I5" i="4"/>
  <c r="I6" i="4"/>
  <c r="I2" i="4"/>
  <c r="J6" i="4"/>
  <c r="J5" i="4"/>
  <c r="J4" i="4"/>
  <c r="C5" i="4"/>
  <c r="D5" i="4"/>
  <c r="H5" i="4"/>
  <c r="B4" i="4"/>
  <c r="C4" i="4"/>
  <c r="D4" i="4"/>
  <c r="E4" i="4"/>
  <c r="F4" i="4"/>
  <c r="G4" i="4"/>
  <c r="H4" i="4"/>
  <c r="D3" i="4"/>
  <c r="E3" i="4"/>
  <c r="C2" i="4"/>
  <c r="D2" i="4"/>
  <c r="E2" i="4"/>
  <c r="F2" i="4"/>
  <c r="G2" i="4"/>
  <c r="H2" i="4"/>
  <c r="B6" i="3"/>
  <c r="C6" i="3"/>
  <c r="D6" i="3"/>
  <c r="E6" i="3"/>
  <c r="F6" i="3"/>
  <c r="G6" i="3"/>
  <c r="H6" i="3"/>
  <c r="J6" i="3"/>
  <c r="B7" i="3"/>
  <c r="C7" i="3"/>
  <c r="D7" i="3"/>
  <c r="E7" i="3"/>
  <c r="F7" i="3"/>
  <c r="G7" i="3"/>
  <c r="H7" i="3"/>
  <c r="J7" i="3"/>
  <c r="B5" i="3"/>
  <c r="C5" i="3"/>
  <c r="D5" i="3"/>
  <c r="E5" i="3"/>
  <c r="F5" i="3"/>
  <c r="G5" i="3"/>
  <c r="H5" i="3"/>
  <c r="J5" i="3"/>
  <c r="B4" i="3"/>
  <c r="C4" i="3"/>
  <c r="D4" i="3"/>
  <c r="E4" i="3"/>
  <c r="F4" i="3"/>
  <c r="G4" i="3"/>
  <c r="H4" i="3"/>
  <c r="J4" i="3"/>
  <c r="B3" i="3"/>
  <c r="C3" i="3"/>
  <c r="D3" i="3"/>
  <c r="E3" i="3"/>
  <c r="F3" i="3"/>
  <c r="G3" i="3"/>
  <c r="H3" i="3"/>
  <c r="J3" i="3"/>
  <c r="B2" i="3"/>
  <c r="C2" i="3"/>
  <c r="D2" i="3"/>
  <c r="E2" i="3"/>
  <c r="F2" i="3"/>
  <c r="G2" i="3"/>
  <c r="H2" i="3"/>
  <c r="J2" i="3"/>
  <c r="B2" i="1"/>
  <c r="C2" i="1"/>
  <c r="D2" i="1"/>
  <c r="E2" i="1"/>
  <c r="F2" i="1"/>
  <c r="G2" i="1"/>
  <c r="H2" i="1"/>
  <c r="J2" i="1"/>
  <c r="B3" i="1"/>
  <c r="C3" i="1"/>
  <c r="D3" i="1"/>
  <c r="E3" i="1"/>
  <c r="F3" i="1"/>
  <c r="G3" i="1"/>
  <c r="H3" i="1"/>
  <c r="J3" i="1"/>
  <c r="B4" i="1"/>
  <c r="C4" i="1"/>
  <c r="D4" i="1"/>
  <c r="E4" i="1"/>
  <c r="F4" i="1"/>
  <c r="G4" i="1"/>
  <c r="H4" i="1"/>
  <c r="J4" i="1"/>
  <c r="B5" i="1"/>
  <c r="C5" i="1"/>
  <c r="D5" i="1"/>
  <c r="E5" i="1"/>
  <c r="F5" i="1"/>
  <c r="G5" i="1"/>
  <c r="H5" i="1"/>
  <c r="J5" i="1"/>
  <c r="J4" i="2"/>
  <c r="J3" i="2"/>
  <c r="J2" i="2"/>
  <c r="H2" i="2"/>
  <c r="B2" i="2"/>
  <c r="C2" i="2"/>
  <c r="D2" i="2"/>
  <c r="E2" i="2"/>
  <c r="F2" i="2"/>
  <c r="G2" i="2"/>
  <c r="B3" i="2"/>
  <c r="C3" i="2"/>
  <c r="D3" i="2"/>
  <c r="E3" i="2"/>
  <c r="F3" i="2"/>
  <c r="G3" i="2"/>
  <c r="H3" i="2"/>
  <c r="B4" i="2"/>
  <c r="C4" i="2"/>
  <c r="D4" i="2"/>
  <c r="E4" i="2"/>
  <c r="F4" i="2"/>
  <c r="G4" i="2"/>
  <c r="H4" i="2"/>
  <c r="B2" i="4"/>
  <c r="J2" i="4"/>
  <c r="B3" i="4"/>
  <c r="C3" i="4"/>
  <c r="F3" i="4"/>
  <c r="G3" i="4"/>
  <c r="H3" i="4"/>
  <c r="J3" i="4"/>
  <c r="B5" i="4"/>
  <c r="E5" i="4"/>
  <c r="F5" i="4"/>
  <c r="G5" i="4"/>
  <c r="B6" i="4"/>
  <c r="C6" i="4"/>
  <c r="D6" i="4"/>
  <c r="E6" i="4"/>
  <c r="F6" i="4"/>
  <c r="G6" i="4"/>
  <c r="H6" i="4"/>
</calcChain>
</file>

<file path=xl/sharedStrings.xml><?xml version="1.0" encoding="utf-8"?>
<sst xmlns="http://schemas.openxmlformats.org/spreadsheetml/2006/main" count="58" uniqueCount="29">
  <si>
    <t>Wzorzec projektowy</t>
  </si>
  <si>
    <t>H1</t>
  </si>
  <si>
    <t>H2</t>
  </si>
  <si>
    <t>H3</t>
  </si>
  <si>
    <t>H4</t>
  </si>
  <si>
    <t>H5</t>
  </si>
  <si>
    <t>H6</t>
  </si>
  <si>
    <t>WZ%</t>
  </si>
  <si>
    <t>Informacja dźwiękowa</t>
  </si>
  <si>
    <t>Informacja haptyczna</t>
  </si>
  <si>
    <t>Informacja multimodalna</t>
  </si>
  <si>
    <t>Niediegetyczny (HUD)</t>
  </si>
  <si>
    <t>Przestrzenny (UI w przestrzeni 3D)</t>
  </si>
  <si>
    <t>Statusowy (wskaźniki stanu: zdrowie, energia, czas)</t>
  </si>
  <si>
    <t>Diegetyczny (element świata gry)</t>
  </si>
  <si>
    <t>Ekwipunek – panel (klasyczne menu / okno)</t>
  </si>
  <si>
    <t>Ekwipunek – diegetyczny (plecak, skrzynka, pas, skrzynia w świecie gry)</t>
  </si>
  <si>
    <t>Ekwipunek – sloty przypięte do ciała (biodra, plecy, ramiona, klatka piersiowa)</t>
  </si>
  <si>
    <t>Brak lokomocji</t>
  </si>
  <si>
    <t>Gładka lokomocja</t>
  </si>
  <si>
    <t>Snap rotation</t>
  </si>
  <si>
    <t>Teleportacja</t>
  </si>
  <si>
    <t>Lokomocja fizyczna - (ruch rzeczywisty użytkownika)</t>
  </si>
  <si>
    <t>Lokomocja z mechanizmami komfortu (vignette, zwężenie FOV, spowolnienie)</t>
  </si>
  <si>
    <t>Informacja wizualna – niediegetyczna (HUD)</t>
  </si>
  <si>
    <t>Informacja wizualna – diegetyczna</t>
  </si>
  <si>
    <t>H7</t>
  </si>
  <si>
    <t>WZ dla tabeli wynikowej</t>
  </si>
  <si>
    <t>WZ dla wzoraca%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</si>
</sst>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0" fillId="0" borderId="0" xfId="0" applyAlignment="1">
      <alignment wrapText="1"/>
    </xf>
    <xf numFmtId="0" fontId="2" fillId="0" borderId="0" xfId="1"/>
    <xf numFmtId="0" fontId="0" fillId="0" borderId="0" xfId="0" applyAlignment="1">
      <alignment horizontal="center"/>
    </xf>
    <xf numFmtId="0" fontId="0" fillId="0" borderId="0" xfId="0" applyFont="1" applyAlignment="1">
      <alignment horizontal="center" vertical="top"/>
    </xf>
  </cellXfs>
  <cellStyles count="3">
    <cellStyle name="Normal" xfId="0" builtinId="0"/>
    <cellStyle name="Normal 2" xfId="1" xr:uid="{8BCD9CB6-2FEC-47BC-953E-98C2D3B4D75D}"/>
    <cellStyle name="Normal 3" xfId="2" xr:uid="{0CDE81C6-D464-4784-8CA9-4D50172C5D4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smira\Desktop\Kalkulacje.xlsx" TargetMode="External"/><Relationship Id="rId1" Type="http://schemas.openxmlformats.org/officeDocument/2006/relationships/externalLinkPath" Target="Kalkulacj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alkulacje"/>
    </sheetNames>
    <sheetDataSet>
      <sheetData sheetId="0">
        <row r="12">
          <cell r="P12" t="str">
            <v>S</v>
          </cell>
          <cell r="Q12" t="str">
            <v>N</v>
          </cell>
          <cell r="R12" t="str">
            <v>N/A</v>
          </cell>
          <cell r="S12" t="str">
            <v>N</v>
          </cell>
          <cell r="T12" t="str">
            <v>S</v>
          </cell>
          <cell r="U12" t="str">
            <v>S</v>
          </cell>
          <cell r="V12" t="str">
            <v>N</v>
          </cell>
          <cell r="W12">
            <v>50.806451612903224</v>
          </cell>
        </row>
        <row r="21">
          <cell r="P21" t="str">
            <v>S</v>
          </cell>
          <cell r="Q21" t="str">
            <v>C</v>
          </cell>
          <cell r="R21" t="str">
            <v>S</v>
          </cell>
          <cell r="S21" t="str">
            <v>S</v>
          </cell>
          <cell r="T21" t="str">
            <v>N</v>
          </cell>
          <cell r="U21" t="str">
            <v>S</v>
          </cell>
          <cell r="V21" t="str">
            <v>N</v>
          </cell>
          <cell r="W21">
            <v>56.481481481481474</v>
          </cell>
        </row>
        <row r="25">
          <cell r="P25" t="str">
            <v>S</v>
          </cell>
          <cell r="Q25" t="str">
            <v>N</v>
          </cell>
          <cell r="R25" t="str">
            <v>N/A</v>
          </cell>
          <cell r="S25" t="str">
            <v>N</v>
          </cell>
          <cell r="T25" t="str">
            <v>S</v>
          </cell>
          <cell r="U25" t="str">
            <v>S</v>
          </cell>
          <cell r="V25" t="str">
            <v>N</v>
          </cell>
          <cell r="W25">
            <v>41.666666666666671</v>
          </cell>
        </row>
        <row r="41">
          <cell r="P41" t="str">
            <v>S</v>
          </cell>
          <cell r="Q41" t="str">
            <v>S</v>
          </cell>
          <cell r="R41" t="str">
            <v>S</v>
          </cell>
          <cell r="S41" t="str">
            <v>S</v>
          </cell>
          <cell r="T41" t="str">
            <v>S</v>
          </cell>
          <cell r="U41" t="str">
            <v>S</v>
          </cell>
          <cell r="V41" t="str">
            <v>S</v>
          </cell>
          <cell r="W41">
            <v>87.61904761904762</v>
          </cell>
        </row>
        <row r="46">
          <cell r="P46" t="str">
            <v>S</v>
          </cell>
          <cell r="Q46" t="str">
            <v>N</v>
          </cell>
          <cell r="R46" t="str">
            <v>S</v>
          </cell>
          <cell r="S46" t="str">
            <v>S</v>
          </cell>
          <cell r="T46" t="str">
            <v>N</v>
          </cell>
          <cell r="U46" t="str">
            <v>C</v>
          </cell>
          <cell r="V46" t="str">
            <v>N</v>
          </cell>
          <cell r="W46">
            <v>53.571428571428569</v>
          </cell>
        </row>
        <row r="49">
          <cell r="P49" t="str">
            <v>S</v>
          </cell>
          <cell r="Q49" t="str">
            <v>S</v>
          </cell>
          <cell r="R49" t="str">
            <v>S</v>
          </cell>
          <cell r="S49" t="str">
            <v>S</v>
          </cell>
          <cell r="T49" t="str">
            <v>S</v>
          </cell>
          <cell r="U49" t="str">
            <v>S</v>
          </cell>
          <cell r="V49" t="str">
            <v>S</v>
          </cell>
          <cell r="W49">
            <v>85.714285714285708</v>
          </cell>
        </row>
        <row r="52">
          <cell r="P52" t="str">
            <v>S</v>
          </cell>
          <cell r="Q52" t="str">
            <v>S</v>
          </cell>
          <cell r="R52" t="str">
            <v>S</v>
          </cell>
          <cell r="S52" t="str">
            <v>S</v>
          </cell>
          <cell r="T52" t="str">
            <v>S</v>
          </cell>
          <cell r="U52" t="str">
            <v>S</v>
          </cell>
          <cell r="V52" t="str">
            <v>S</v>
          </cell>
          <cell r="W52">
            <v>83.333333333333343</v>
          </cell>
        </row>
        <row r="55">
          <cell r="P55" t="str">
            <v>N/A</v>
          </cell>
          <cell r="Q55" t="str">
            <v>S</v>
          </cell>
          <cell r="R55" t="str">
            <v>N/A</v>
          </cell>
          <cell r="S55" t="str">
            <v>S</v>
          </cell>
          <cell r="T55" t="str">
            <v>S</v>
          </cell>
          <cell r="U55" t="str">
            <v>N/A</v>
          </cell>
          <cell r="V55" t="str">
            <v>S</v>
          </cell>
          <cell r="W55">
            <v>100</v>
          </cell>
        </row>
        <row r="61">
          <cell r="P61" t="str">
            <v>N/A</v>
          </cell>
          <cell r="Q61" t="str">
            <v>C</v>
          </cell>
          <cell r="R61" t="str">
            <v>S</v>
          </cell>
          <cell r="S61" t="str">
            <v>S</v>
          </cell>
          <cell r="T61" t="str">
            <v>N</v>
          </cell>
          <cell r="U61" t="str">
            <v>N/A</v>
          </cell>
          <cell r="V61" t="str">
            <v>C</v>
          </cell>
          <cell r="W61">
            <v>68.333333333333329</v>
          </cell>
        </row>
        <row r="63">
          <cell r="P63" t="str">
            <v>N/A</v>
          </cell>
          <cell r="Q63" t="str">
            <v>S</v>
          </cell>
          <cell r="R63" t="str">
            <v>S</v>
          </cell>
          <cell r="S63" t="str">
            <v>S</v>
          </cell>
          <cell r="T63" t="str">
            <v>S</v>
          </cell>
          <cell r="U63" t="str">
            <v>N/A</v>
          </cell>
          <cell r="V63" t="str">
            <v>S</v>
          </cell>
          <cell r="W63">
            <v>90</v>
          </cell>
        </row>
        <row r="70">
          <cell r="P70" t="str">
            <v>S</v>
          </cell>
          <cell r="Q70" t="str">
            <v>C</v>
          </cell>
          <cell r="R70" t="str">
            <v>S</v>
          </cell>
          <cell r="S70" t="str">
            <v>S</v>
          </cell>
          <cell r="T70" t="str">
            <v>C</v>
          </cell>
          <cell r="U70" t="str">
            <v>N/A</v>
          </cell>
          <cell r="V70" t="str">
            <v>C</v>
          </cell>
          <cell r="W70">
            <v>76.19047619047619</v>
          </cell>
        </row>
        <row r="77">
          <cell r="P77" t="str">
            <v>N/A</v>
          </cell>
          <cell r="Q77" t="str">
            <v>N</v>
          </cell>
          <cell r="R77" t="str">
            <v>S</v>
          </cell>
          <cell r="S77" t="str">
            <v>S</v>
          </cell>
          <cell r="T77" t="str">
            <v>S</v>
          </cell>
          <cell r="U77" t="str">
            <v>N/A</v>
          </cell>
          <cell r="V77" t="str">
            <v>S</v>
          </cell>
          <cell r="W77">
            <v>77.027027027027032</v>
          </cell>
        </row>
        <row r="86">
          <cell r="P86" t="str">
            <v>S</v>
          </cell>
          <cell r="Q86" t="str">
            <v>S</v>
          </cell>
          <cell r="R86" t="str">
            <v>N/A</v>
          </cell>
          <cell r="S86" t="str">
            <v>S</v>
          </cell>
          <cell r="T86" t="str">
            <v>S</v>
          </cell>
          <cell r="U86" t="str">
            <v>S</v>
          </cell>
          <cell r="V86" t="str">
            <v>N</v>
          </cell>
          <cell r="W86">
            <v>81.25</v>
          </cell>
        </row>
        <row r="94">
          <cell r="P94" t="str">
            <v>S</v>
          </cell>
          <cell r="Q94" t="str">
            <v>N</v>
          </cell>
          <cell r="R94" t="str">
            <v>N/A</v>
          </cell>
          <cell r="S94" t="str">
            <v>S</v>
          </cell>
          <cell r="T94" t="str">
            <v>S</v>
          </cell>
          <cell r="U94" t="str">
            <v>C</v>
          </cell>
          <cell r="V94" t="str">
            <v>N/A</v>
          </cell>
          <cell r="W94">
            <v>68.055555555555557</v>
          </cell>
        </row>
        <row r="102">
          <cell r="P102" t="str">
            <v>S</v>
          </cell>
          <cell r="Q102" t="str">
            <v>S</v>
          </cell>
          <cell r="R102" t="str">
            <v>N/A</v>
          </cell>
          <cell r="S102" t="str">
            <v>S</v>
          </cell>
          <cell r="T102" t="str">
            <v>S</v>
          </cell>
          <cell r="U102" t="str">
            <v>S</v>
          </cell>
          <cell r="V102" t="str">
            <v>N</v>
          </cell>
          <cell r="W102">
            <v>82.222222222222214</v>
          </cell>
        </row>
        <row r="110">
          <cell r="P110" t="str">
            <v>S</v>
          </cell>
          <cell r="Q110" t="str">
            <v>S</v>
          </cell>
          <cell r="R110" t="str">
            <v>N/A</v>
          </cell>
          <cell r="S110" t="str">
            <v>S</v>
          </cell>
          <cell r="T110" t="str">
            <v>S</v>
          </cell>
          <cell r="U110" t="str">
            <v>S</v>
          </cell>
          <cell r="V110" t="str">
            <v>N</v>
          </cell>
          <cell r="W110">
            <v>74.444444444444443</v>
          </cell>
        </row>
        <row r="118">
          <cell r="P118" t="str">
            <v>S</v>
          </cell>
          <cell r="Q118" t="str">
            <v>S</v>
          </cell>
          <cell r="R118" t="str">
            <v>N/A</v>
          </cell>
          <cell r="S118" t="str">
            <v>S</v>
          </cell>
          <cell r="T118" t="str">
            <v>S</v>
          </cell>
          <cell r="U118" t="str">
            <v>S</v>
          </cell>
          <cell r="V118" t="str">
            <v>C</v>
          </cell>
          <cell r="W118">
            <v>81.25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workbookViewId="0">
      <selection activeCell="J1" sqref="J1"/>
    </sheetView>
  </sheetViews>
  <sheetFormatPr defaultRowHeight="15" x14ac:dyDescent="0.25"/>
  <cols>
    <col min="1" max="1" width="51.5703125" customWidth="1"/>
    <col min="9" max="9" width="23.28515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26</v>
      </c>
      <c r="I1" s="1" t="s">
        <v>27</v>
      </c>
      <c r="J1" s="1" t="s">
        <v>7</v>
      </c>
    </row>
    <row r="2" spans="1:10" x14ac:dyDescent="0.25">
      <c r="A2" t="s">
        <v>11</v>
      </c>
      <c r="B2" t="str">
        <f>[1]Kalkulacje!P12</f>
        <v>S</v>
      </c>
      <c r="C2" t="str">
        <f>[1]Kalkulacje!Q12</f>
        <v>N</v>
      </c>
      <c r="D2" t="str">
        <f>[1]Kalkulacje!R12</f>
        <v>N/A</v>
      </c>
      <c r="E2" t="str">
        <f>[1]Kalkulacje!S12</f>
        <v>N</v>
      </c>
      <c r="F2" t="str">
        <f>[1]Kalkulacje!T12</f>
        <v>S</v>
      </c>
      <c r="G2" t="str">
        <f>[1]Kalkulacje!U12</f>
        <v>S</v>
      </c>
      <c r="H2" t="str">
        <f>[1]Kalkulacje!V12</f>
        <v>N</v>
      </c>
      <c r="I2">
        <f>IFERROR(
( COUNTIF(B2:H2,"S") + 0.5*COUNTIF(B2:H2,"C") )
/
( COUNTIF(B2:H2,"S") + COUNTIF(B2:H2,"C") + COUNTIF(B2:H2,"N") )
*100,0)</f>
        <v>50</v>
      </c>
      <c r="J2">
        <f>[1]Kalkulacje!W12</f>
        <v>50.806451612903224</v>
      </c>
    </row>
    <row r="3" spans="1:10" x14ac:dyDescent="0.25">
      <c r="A3" t="s">
        <v>12</v>
      </c>
      <c r="B3" t="str">
        <f>[1]Kalkulacje!P21</f>
        <v>S</v>
      </c>
      <c r="C3" t="str">
        <f>[1]Kalkulacje!Q21</f>
        <v>C</v>
      </c>
      <c r="D3" t="str">
        <f>[1]Kalkulacje!R21</f>
        <v>S</v>
      </c>
      <c r="E3" t="str">
        <f>[1]Kalkulacje!S21</f>
        <v>S</v>
      </c>
      <c r="F3" t="str">
        <f>[1]Kalkulacje!T21</f>
        <v>N</v>
      </c>
      <c r="G3" t="str">
        <f>[1]Kalkulacje!U21</f>
        <v>S</v>
      </c>
      <c r="H3" t="str">
        <f>[1]Kalkulacje!V21</f>
        <v>N</v>
      </c>
      <c r="I3">
        <f t="shared" ref="I3:I6" si="0">IFERROR(
( COUNTIF(B3:H3,"S") + 0.5*COUNTIF(B3:H3,"C") )
/
( COUNTIF(B3:H3,"S") + COUNTIF(B3:H3,"C") + COUNTIF(B3:H3,"N") )
*100,0)</f>
        <v>64.285714285714292</v>
      </c>
      <c r="J3">
        <f>[1]Kalkulacje!W21</f>
        <v>56.481481481481474</v>
      </c>
    </row>
    <row r="4" spans="1:10" x14ac:dyDescent="0.25">
      <c r="A4" t="s">
        <v>13</v>
      </c>
      <c r="B4" t="str">
        <f>[1]Kalkulacje!P25</f>
        <v>S</v>
      </c>
      <c r="C4" t="str">
        <f>[1]Kalkulacje!Q25</f>
        <v>N</v>
      </c>
      <c r="D4" t="str">
        <f>[1]Kalkulacje!R25</f>
        <v>N/A</v>
      </c>
      <c r="E4" t="str">
        <f>[1]Kalkulacje!S25</f>
        <v>N</v>
      </c>
      <c r="F4" t="str">
        <f>[1]Kalkulacje!T25</f>
        <v>S</v>
      </c>
      <c r="G4" t="str">
        <f>[1]Kalkulacje!U25</f>
        <v>S</v>
      </c>
      <c r="H4" t="str">
        <f>[1]Kalkulacje!V25</f>
        <v>N</v>
      </c>
      <c r="I4">
        <f t="shared" si="0"/>
        <v>50</v>
      </c>
      <c r="J4">
        <f>[1]Kalkulacje!W25</f>
        <v>41.666666666666671</v>
      </c>
    </row>
    <row r="5" spans="1:10" x14ac:dyDescent="0.25">
      <c r="A5" t="s">
        <v>14</v>
      </c>
      <c r="B5" t="str">
        <f>[1]Kalkulacje!P41</f>
        <v>S</v>
      </c>
      <c r="C5" t="str">
        <f>[1]Kalkulacje!Q41</f>
        <v>S</v>
      </c>
      <c r="D5" t="str">
        <f>[1]Kalkulacje!R41</f>
        <v>S</v>
      </c>
      <c r="E5" t="str">
        <f>[1]Kalkulacje!S41</f>
        <v>S</v>
      </c>
      <c r="F5" t="str">
        <f>[1]Kalkulacje!T41</f>
        <v>S</v>
      </c>
      <c r="G5" t="str">
        <f>[1]Kalkulacje!U41</f>
        <v>S</v>
      </c>
      <c r="H5" t="str">
        <f>[1]Kalkulacje!V41</f>
        <v>S</v>
      </c>
      <c r="I5">
        <f t="shared" si="0"/>
        <v>100</v>
      </c>
      <c r="J5">
        <f>[1]Kalkulacje!W41</f>
        <v>87.61904761904762</v>
      </c>
    </row>
    <row r="6" spans="1:10" x14ac:dyDescent="0.25">
      <c r="I6">
        <f t="shared" si="0"/>
        <v>0</v>
      </c>
    </row>
  </sheetData>
  <conditionalFormatting sqref="J2:J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5"/>
  <sheetViews>
    <sheetView workbookViewId="0">
      <selection activeCell="I1" sqref="I1:I4"/>
    </sheetView>
  </sheetViews>
  <sheetFormatPr defaultRowHeight="15" x14ac:dyDescent="0.25"/>
  <cols>
    <col min="1" max="1" width="45.855468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26</v>
      </c>
      <c r="I1" s="1" t="s">
        <v>27</v>
      </c>
      <c r="J1" s="1" t="s">
        <v>7</v>
      </c>
    </row>
    <row r="2" spans="1:10" x14ac:dyDescent="0.25">
      <c r="A2" t="s">
        <v>15</v>
      </c>
      <c r="B2" t="str">
        <f>[1]Kalkulacje!P46</f>
        <v>S</v>
      </c>
      <c r="C2" t="str">
        <f>[1]Kalkulacje!Q46</f>
        <v>N</v>
      </c>
      <c r="D2" t="str">
        <f>[1]Kalkulacje!R46</f>
        <v>S</v>
      </c>
      <c r="E2" t="str">
        <f>[1]Kalkulacje!S46</f>
        <v>S</v>
      </c>
      <c r="F2" t="str">
        <f>[1]Kalkulacje!T46</f>
        <v>N</v>
      </c>
      <c r="G2" t="str">
        <f>[1]Kalkulacje!U46</f>
        <v>C</v>
      </c>
      <c r="H2" t="str">
        <f>[1]Kalkulacje!V46</f>
        <v>N</v>
      </c>
      <c r="I2">
        <f>IFERROR(
( COUNTIF(B2:H2,"S") + 0.5*COUNTIF(B2:H2,"C") )
/
( COUNTIF(B2:H2,"S") + COUNTIF(B2:H2,"C") + COUNTIF(B2:H2,"N") )
*100,0)</f>
        <v>50</v>
      </c>
      <c r="J2">
        <f>[1]Kalkulacje!$W$46</f>
        <v>53.571428571428569</v>
      </c>
    </row>
    <row r="3" spans="1:10" x14ac:dyDescent="0.25">
      <c r="A3" t="s">
        <v>16</v>
      </c>
      <c r="B3" t="str">
        <f>[1]Kalkulacje!P49</f>
        <v>S</v>
      </c>
      <c r="C3" t="str">
        <f>[1]Kalkulacje!Q49</f>
        <v>S</v>
      </c>
      <c r="D3" t="str">
        <f>[1]Kalkulacje!R49</f>
        <v>S</v>
      </c>
      <c r="E3" t="str">
        <f>[1]Kalkulacje!S49</f>
        <v>S</v>
      </c>
      <c r="F3" t="str">
        <f>[1]Kalkulacje!T49</f>
        <v>S</v>
      </c>
      <c r="G3" t="str">
        <f>[1]Kalkulacje!U49</f>
        <v>S</v>
      </c>
      <c r="H3" t="str">
        <f>[1]Kalkulacje!V49</f>
        <v>S</v>
      </c>
      <c r="I3">
        <f t="shared" ref="I3:I4" si="0">IFERROR(
( COUNTIF(B3:H3,"S") + 0.5*COUNTIF(B3:H3,"C") )
/
( COUNTIF(B3:H3,"S") + COUNTIF(B3:H3,"C") + COUNTIF(B3:H3,"N") )
*100,0)</f>
        <v>100</v>
      </c>
      <c r="J3">
        <f>[1]Kalkulacje!$W$49</f>
        <v>85.714285714285708</v>
      </c>
    </row>
    <row r="4" spans="1:10" x14ac:dyDescent="0.25">
      <c r="A4" t="s">
        <v>17</v>
      </c>
      <c r="B4" t="str">
        <f>[1]Kalkulacje!P52</f>
        <v>S</v>
      </c>
      <c r="C4" t="str">
        <f>[1]Kalkulacje!Q52</f>
        <v>S</v>
      </c>
      <c r="D4" t="str">
        <f>[1]Kalkulacje!R52</f>
        <v>S</v>
      </c>
      <c r="E4" t="str">
        <f>[1]Kalkulacje!S52</f>
        <v>S</v>
      </c>
      <c r="F4" t="str">
        <f>[1]Kalkulacje!T52</f>
        <v>S</v>
      </c>
      <c r="G4" t="str">
        <f>[1]Kalkulacje!U52</f>
        <v>S</v>
      </c>
      <c r="H4" t="str">
        <f>[1]Kalkulacje!V52</f>
        <v>S</v>
      </c>
      <c r="I4">
        <f t="shared" si="0"/>
        <v>100</v>
      </c>
      <c r="J4">
        <f>[1]Kalkulacje!$W$52</f>
        <v>83.333333333333343</v>
      </c>
    </row>
    <row r="13" spans="1:10" x14ac:dyDescent="0.25">
      <c r="A13" s="2"/>
    </row>
    <row r="14" spans="1:10" x14ac:dyDescent="0.25">
      <c r="A14" s="2"/>
    </row>
    <row r="15" spans="1:10" x14ac:dyDescent="0.25">
      <c r="A15" s="2"/>
    </row>
  </sheetData>
  <conditionalFormatting sqref="J2:J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7"/>
  <sheetViews>
    <sheetView tabSelected="1" workbookViewId="0">
      <selection activeCell="P16" sqref="P16"/>
    </sheetView>
  </sheetViews>
  <sheetFormatPr defaultRowHeight="15" x14ac:dyDescent="0.25"/>
  <cols>
    <col min="1" max="1" width="40.42578125" customWidth="1"/>
    <col min="9" max="9" width="23.28515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26</v>
      </c>
      <c r="I1" s="1" t="s">
        <v>27</v>
      </c>
      <c r="J1" s="1" t="s">
        <v>7</v>
      </c>
    </row>
    <row r="2" spans="1:10" x14ac:dyDescent="0.25">
      <c r="A2" t="s">
        <v>18</v>
      </c>
      <c r="B2" t="str">
        <f>[1]Kalkulacje!P55</f>
        <v>N/A</v>
      </c>
      <c r="C2" t="str">
        <f>[1]Kalkulacje!Q55</f>
        <v>S</v>
      </c>
      <c r="D2" t="str">
        <f>[1]Kalkulacje!R55</f>
        <v>N/A</v>
      </c>
      <c r="E2" t="str">
        <f>[1]Kalkulacje!S55</f>
        <v>S</v>
      </c>
      <c r="F2" t="str">
        <f>[1]Kalkulacje!T55</f>
        <v>S</v>
      </c>
      <c r="G2" t="str">
        <f>[1]Kalkulacje!U55</f>
        <v>N/A</v>
      </c>
      <c r="H2" t="str">
        <f>[1]Kalkulacje!V55</f>
        <v>S</v>
      </c>
      <c r="I2">
        <f>IFERROR(
( COUNTIF(B2:H2,"S") + 0.5*COUNTIF(B2:H2,"C") )
/
( COUNTIF(B2:H2,"S") + COUNTIF(B2:H2,"C") + COUNTIF(B2:H2,"N") )
*100,0)</f>
        <v>100</v>
      </c>
      <c r="J2">
        <f>[1]Kalkulacje!W55</f>
        <v>100</v>
      </c>
    </row>
    <row r="3" spans="1:10" x14ac:dyDescent="0.25">
      <c r="A3" t="s">
        <v>19</v>
      </c>
      <c r="B3" t="str">
        <f>[1]Kalkulacje!P61</f>
        <v>N/A</v>
      </c>
      <c r="C3" t="str">
        <f>[1]Kalkulacje!Q61</f>
        <v>C</v>
      </c>
      <c r="D3" t="str">
        <f>[1]Kalkulacje!R61</f>
        <v>S</v>
      </c>
      <c r="E3" t="str">
        <f>[1]Kalkulacje!S61</f>
        <v>S</v>
      </c>
      <c r="F3" t="str">
        <f>[1]Kalkulacje!T61</f>
        <v>N</v>
      </c>
      <c r="G3" t="str">
        <f>[1]Kalkulacje!U61</f>
        <v>N/A</v>
      </c>
      <c r="H3" t="str">
        <f>[1]Kalkulacje!V61</f>
        <v>C</v>
      </c>
      <c r="I3">
        <f t="shared" ref="I3:I7" si="0">IFERROR(
( COUNTIF(B3:H3,"S") + 0.5*COUNTIF(B3:H3,"C") )
/
( COUNTIF(B3:H3,"S") + COUNTIF(B3:H3,"C") + COUNTIF(B3:H3,"N") )
*100,0)</f>
        <v>60</v>
      </c>
      <c r="J3">
        <f>[1]Kalkulacje!W61</f>
        <v>68.333333333333329</v>
      </c>
    </row>
    <row r="4" spans="1:10" ht="30" x14ac:dyDescent="0.25">
      <c r="A4" s="3" t="s">
        <v>22</v>
      </c>
      <c r="B4" t="str">
        <f>[1]Kalkulacje!P63</f>
        <v>N/A</v>
      </c>
      <c r="C4" t="str">
        <f>[1]Kalkulacje!Q63</f>
        <v>S</v>
      </c>
      <c r="D4" t="str">
        <f>[1]Kalkulacje!R63</f>
        <v>S</v>
      </c>
      <c r="E4" t="str">
        <f>[1]Kalkulacje!S63</f>
        <v>S</v>
      </c>
      <c r="F4" t="str">
        <f>[1]Kalkulacje!T63</f>
        <v>S</v>
      </c>
      <c r="G4" t="str">
        <f>[1]Kalkulacje!U63</f>
        <v>N/A</v>
      </c>
      <c r="H4" t="str">
        <f>[1]Kalkulacje!V63</f>
        <v>S</v>
      </c>
      <c r="I4">
        <f t="shared" si="0"/>
        <v>100</v>
      </c>
      <c r="J4">
        <f>[1]Kalkulacje!W63</f>
        <v>90</v>
      </c>
    </row>
    <row r="5" spans="1:10" x14ac:dyDescent="0.25">
      <c r="A5" t="s">
        <v>20</v>
      </c>
      <c r="B5" t="str">
        <f>[1]Kalkulacje!P70</f>
        <v>S</v>
      </c>
      <c r="C5" t="str">
        <f>[1]Kalkulacje!Q70</f>
        <v>C</v>
      </c>
      <c r="D5" t="str">
        <f>[1]Kalkulacje!R70</f>
        <v>S</v>
      </c>
      <c r="E5" t="str">
        <f>[1]Kalkulacje!S70</f>
        <v>S</v>
      </c>
      <c r="F5" t="str">
        <f>[1]Kalkulacje!T70</f>
        <v>C</v>
      </c>
      <c r="G5" t="str">
        <f>[1]Kalkulacje!U70</f>
        <v>N/A</v>
      </c>
      <c r="H5" t="str">
        <f>[1]Kalkulacje!V70</f>
        <v>C</v>
      </c>
      <c r="I5">
        <f t="shared" si="0"/>
        <v>75</v>
      </c>
      <c r="J5">
        <f>[1]Kalkulacje!W70</f>
        <v>76.19047619047619</v>
      </c>
    </row>
    <row r="6" spans="1:10" x14ac:dyDescent="0.25">
      <c r="A6" t="s">
        <v>21</v>
      </c>
      <c r="B6" t="str">
        <f>[1]Kalkulacje!P70</f>
        <v>S</v>
      </c>
      <c r="C6" t="str">
        <f>[1]Kalkulacje!Q70</f>
        <v>C</v>
      </c>
      <c r="D6" t="str">
        <f>[1]Kalkulacje!R70</f>
        <v>S</v>
      </c>
      <c r="E6" t="str">
        <f>[1]Kalkulacje!S70</f>
        <v>S</v>
      </c>
      <c r="F6" t="str">
        <f>[1]Kalkulacje!T70</f>
        <v>C</v>
      </c>
      <c r="G6" t="str">
        <f>[1]Kalkulacje!U70</f>
        <v>N/A</v>
      </c>
      <c r="H6" t="str">
        <f>[1]Kalkulacje!V70</f>
        <v>C</v>
      </c>
      <c r="I6">
        <f t="shared" si="0"/>
        <v>75</v>
      </c>
      <c r="J6">
        <f>[1]Kalkulacje!W70</f>
        <v>76.19047619047619</v>
      </c>
    </row>
    <row r="7" spans="1:10" ht="33.75" customHeight="1" x14ac:dyDescent="0.25">
      <c r="A7" s="3" t="s">
        <v>23</v>
      </c>
      <c r="B7" s="4" t="str">
        <f>[1]Kalkulacje!P77</f>
        <v>N/A</v>
      </c>
      <c r="C7" s="4" t="str">
        <f>[1]Kalkulacje!Q77</f>
        <v>N</v>
      </c>
      <c r="D7" s="4" t="str">
        <f>[1]Kalkulacje!R77</f>
        <v>S</v>
      </c>
      <c r="E7" s="4" t="str">
        <f>[1]Kalkulacje!S77</f>
        <v>S</v>
      </c>
      <c r="F7" s="4" t="str">
        <f>[1]Kalkulacje!T77</f>
        <v>S</v>
      </c>
      <c r="G7" s="4" t="str">
        <f>[1]Kalkulacje!U77</f>
        <v>N/A</v>
      </c>
      <c r="H7" s="4" t="str">
        <f>[1]Kalkulacje!V77</f>
        <v>S</v>
      </c>
      <c r="I7">
        <f t="shared" si="0"/>
        <v>80</v>
      </c>
      <c r="J7" s="4">
        <f>[1]Kalkulacje!W77</f>
        <v>77.027027027027032</v>
      </c>
    </row>
  </sheetData>
  <conditionalFormatting sqref="J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:J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"/>
  <sheetViews>
    <sheetView workbookViewId="0">
      <selection activeCell="I1" sqref="I1:I6"/>
    </sheetView>
  </sheetViews>
  <sheetFormatPr defaultRowHeight="15" x14ac:dyDescent="0.25"/>
  <cols>
    <col min="1" max="1" width="39.85546875" customWidth="1"/>
    <col min="9" max="9" width="22.7109375" bestFit="1" customWidth="1"/>
    <col min="10" max="10" width="16.42578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26</v>
      </c>
      <c r="I1" s="1" t="s">
        <v>27</v>
      </c>
      <c r="J1" s="1" t="s">
        <v>28</v>
      </c>
    </row>
    <row r="2" spans="1:10" ht="17.25" customHeight="1" x14ac:dyDescent="0.25">
      <c r="A2" t="s">
        <v>25</v>
      </c>
      <c r="B2" s="6" t="str">
        <f>[1]Kalkulacje!P86</f>
        <v>S</v>
      </c>
      <c r="C2" s="6" t="str">
        <f>[1]Kalkulacje!Q86</f>
        <v>S</v>
      </c>
      <c r="D2" s="6" t="str">
        <f>[1]Kalkulacje!R86</f>
        <v>N/A</v>
      </c>
      <c r="E2" s="6" t="str">
        <f>[1]Kalkulacje!S86</f>
        <v>S</v>
      </c>
      <c r="F2" s="6" t="str">
        <f>[1]Kalkulacje!T86</f>
        <v>S</v>
      </c>
      <c r="G2" s="6" t="str">
        <f>[1]Kalkulacje!U86</f>
        <v>S</v>
      </c>
      <c r="H2" s="6" t="str">
        <f>[1]Kalkulacje!V86</f>
        <v>N</v>
      </c>
      <c r="I2">
        <f>IFERROR(
( COUNTIF(B2:H2,"S") + 0.5*COUNTIF(B2:H2,"C") )
/
( COUNTIF(B2:H2,"S") + COUNTIF(B2:H2,"C") + COUNTIF(B2:H2,"N") )
*100,0)</f>
        <v>83.333333333333343</v>
      </c>
      <c r="J2" s="6">
        <f>[1]Kalkulacje!W86</f>
        <v>81.25</v>
      </c>
    </row>
    <row r="3" spans="1:10" x14ac:dyDescent="0.25">
      <c r="A3" t="s">
        <v>24</v>
      </c>
      <c r="B3" s="5" t="str">
        <f>[1]Kalkulacje!P94</f>
        <v>S</v>
      </c>
      <c r="C3" s="5" t="str">
        <f>[1]Kalkulacje!Q94</f>
        <v>N</v>
      </c>
      <c r="D3" s="5" t="str">
        <f>[1]Kalkulacje!R94</f>
        <v>N/A</v>
      </c>
      <c r="E3" s="5" t="str">
        <f>[1]Kalkulacje!S94</f>
        <v>S</v>
      </c>
      <c r="F3" s="5" t="str">
        <f>[1]Kalkulacje!T94</f>
        <v>S</v>
      </c>
      <c r="G3" s="5" t="str">
        <f>[1]Kalkulacje!U94</f>
        <v>C</v>
      </c>
      <c r="H3" s="5" t="str">
        <f>[1]Kalkulacje!V94</f>
        <v>N/A</v>
      </c>
      <c r="I3">
        <f t="shared" ref="I3:I6" si="0">IFERROR(
( COUNTIF(B3:H3,"S") + 0.5*COUNTIF(B3:H3,"C") )
/
( COUNTIF(B3:H3,"S") + COUNTIF(B3:H3,"C") + COUNTIF(B3:H3,"N") )
*100,0)</f>
        <v>70</v>
      </c>
      <c r="J3" s="5">
        <f>[1]Kalkulacje!W94</f>
        <v>68.055555555555557</v>
      </c>
    </row>
    <row r="4" spans="1:10" x14ac:dyDescent="0.25">
      <c r="A4" t="s">
        <v>8</v>
      </c>
      <c r="B4" s="5" t="str">
        <f>[1]Kalkulacje!P102</f>
        <v>S</v>
      </c>
      <c r="C4" s="5" t="str">
        <f>[1]Kalkulacje!Q102</f>
        <v>S</v>
      </c>
      <c r="D4" s="5" t="str">
        <f>[1]Kalkulacje!R102</f>
        <v>N/A</v>
      </c>
      <c r="E4" s="5" t="str">
        <f>[1]Kalkulacje!S102</f>
        <v>S</v>
      </c>
      <c r="F4" s="5" t="str">
        <f>[1]Kalkulacje!T102</f>
        <v>S</v>
      </c>
      <c r="G4" s="5" t="str">
        <f>[1]Kalkulacje!U102</f>
        <v>S</v>
      </c>
      <c r="H4" s="5" t="str">
        <f>[1]Kalkulacje!V102</f>
        <v>N</v>
      </c>
      <c r="I4">
        <f t="shared" si="0"/>
        <v>83.333333333333343</v>
      </c>
      <c r="J4" s="5">
        <f>[1]Kalkulacje!W102</f>
        <v>82.222222222222214</v>
      </c>
    </row>
    <row r="5" spans="1:10" x14ac:dyDescent="0.25">
      <c r="A5" t="s">
        <v>9</v>
      </c>
      <c r="B5" s="5" t="str">
        <f>[1]Kalkulacje!P110</f>
        <v>S</v>
      </c>
      <c r="C5" s="5" t="str">
        <f>[1]Kalkulacje!Q110</f>
        <v>S</v>
      </c>
      <c r="D5" s="5" t="str">
        <f>[1]Kalkulacje!R110</f>
        <v>N/A</v>
      </c>
      <c r="E5" s="5" t="str">
        <f>[1]Kalkulacje!S110</f>
        <v>S</v>
      </c>
      <c r="F5" s="5" t="str">
        <f>[1]Kalkulacje!T110</f>
        <v>S</v>
      </c>
      <c r="G5" s="5" t="str">
        <f>[1]Kalkulacje!U110</f>
        <v>S</v>
      </c>
      <c r="H5" s="5" t="str">
        <f>[1]Kalkulacje!V110</f>
        <v>N</v>
      </c>
      <c r="I5">
        <f t="shared" si="0"/>
        <v>83.333333333333343</v>
      </c>
      <c r="J5" s="5">
        <f>[1]Kalkulacje!W110</f>
        <v>74.444444444444443</v>
      </c>
    </row>
    <row r="6" spans="1:10" x14ac:dyDescent="0.25">
      <c r="A6" t="s">
        <v>10</v>
      </c>
      <c r="B6" s="5" t="str">
        <f>[1]Kalkulacje!P118</f>
        <v>S</v>
      </c>
      <c r="C6" s="5" t="str">
        <f>[1]Kalkulacje!Q118</f>
        <v>S</v>
      </c>
      <c r="D6" s="5" t="str">
        <f>[1]Kalkulacje!R118</f>
        <v>N/A</v>
      </c>
      <c r="E6" s="5" t="str">
        <f>[1]Kalkulacje!S118</f>
        <v>S</v>
      </c>
      <c r="F6" s="5" t="str">
        <f>[1]Kalkulacje!T118</f>
        <v>S</v>
      </c>
      <c r="G6" s="5" t="str">
        <f>[1]Kalkulacje!U118</f>
        <v>S</v>
      </c>
      <c r="H6" s="5" t="str">
        <f>[1]Kalkulacje!V118</f>
        <v>C</v>
      </c>
      <c r="I6">
        <f t="shared" si="0"/>
        <v>91.666666666666657</v>
      </c>
      <c r="J6" s="5">
        <f>[1]Kalkulacje!W118</f>
        <v>81.25</v>
      </c>
    </row>
  </sheetData>
  <conditionalFormatting sqref="J2:J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Interfejsy</vt:lpstr>
      <vt:lpstr>2. Ekwipunek</vt:lpstr>
      <vt:lpstr>3. Lokomocja</vt:lpstr>
      <vt:lpstr>4. Informacja zwrotna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Natalia Praska</cp:lastModifiedBy>
  <dcterms:created xsi:type="dcterms:W3CDTF">2026-02-03T21:06:17Z</dcterms:created>
  <dcterms:modified xsi:type="dcterms:W3CDTF">2026-02-04T18:12:16Z</dcterms:modified>
</cp:coreProperties>
</file>